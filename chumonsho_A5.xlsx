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hono\Documents\株式会社若林商店\発注書書き方マニュアル\"/>
    </mc:Choice>
  </mc:AlternateContent>
  <xr:revisionPtr revIDLastSave="0" documentId="13_ncr:1_{A207D1D9-5DCD-4CDF-AC75-3E731933131E}" xr6:coauthVersionLast="47" xr6:coauthVersionMax="47" xr10:uidLastSave="{00000000-0000-0000-0000-000000000000}"/>
  <bookViews>
    <workbookView xWindow="-110" yWindow="-110" windowWidth="25820" windowHeight="15500" xr2:uid="{00000000-000D-0000-FFFF-FFFF00000000}"/>
  </bookViews>
  <sheets>
    <sheet name="注文書" sheetId="1" r:id="rId1"/>
    <sheet name="業者発注票" sheetId="6" r:id="rId2"/>
    <sheet name="注文書 (2)" sheetId="7" r:id="rId3"/>
    <sheet name="商品名一覧" sheetId="2" r:id="rId4"/>
    <sheet name="備考一覧" sheetId="4" r:id="rId5"/>
    <sheet name="使い方" sheetId="5" r:id="rId6"/>
    <sheet name="日付リスト" sheetId="3" state="hidden" r:id="rId7"/>
  </sheets>
  <definedNames>
    <definedName name="_xlnm.Print_Area" localSheetId="1">業者発注票!$A$1:$D$25</definedName>
    <definedName name="_xlnm.Print_Area" localSheetId="0">注文書!$A$1:$E$25</definedName>
    <definedName name="_xlnm.Print_Area" localSheetId="2">'注文書 (2)'!$A$1:$E$25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7" l="1"/>
  <c r="D22" i="6"/>
  <c r="C22" i="6"/>
  <c r="B22" i="6"/>
  <c r="A22" i="6"/>
  <c r="D21" i="6"/>
  <c r="C21" i="6"/>
  <c r="B21" i="6"/>
  <c r="A21" i="6"/>
  <c r="D20" i="6"/>
  <c r="C20" i="6"/>
  <c r="B20" i="6"/>
  <c r="A20" i="6"/>
  <c r="D19" i="6"/>
  <c r="C19" i="6"/>
  <c r="B19" i="6"/>
  <c r="A19" i="6"/>
  <c r="D18" i="6"/>
  <c r="C18" i="6"/>
  <c r="B18" i="6"/>
  <c r="A18" i="6"/>
  <c r="D17" i="6"/>
  <c r="C17" i="6"/>
  <c r="B17" i="6"/>
  <c r="A17" i="6"/>
  <c r="D16" i="6"/>
  <c r="C16" i="6"/>
  <c r="B16" i="6"/>
  <c r="A16" i="6"/>
  <c r="D15" i="6"/>
  <c r="C15" i="6"/>
  <c r="B15" i="6"/>
  <c r="A15" i="6"/>
  <c r="D14" i="6"/>
  <c r="C14" i="6"/>
  <c r="B14" i="6"/>
  <c r="A14" i="6"/>
  <c r="D13" i="6"/>
  <c r="C13" i="6"/>
  <c r="B13" i="6"/>
  <c r="A13" i="6"/>
  <c r="D12" i="6"/>
  <c r="C12" i="6"/>
  <c r="B12" i="6"/>
  <c r="A12" i="6"/>
  <c r="D11" i="6"/>
  <c r="C11" i="6"/>
  <c r="B11" i="6"/>
  <c r="A11" i="6"/>
  <c r="D10" i="6"/>
  <c r="C10" i="6"/>
  <c r="B10" i="6"/>
  <c r="A10" i="6"/>
  <c r="D9" i="6"/>
  <c r="C9" i="6"/>
  <c r="B9" i="6"/>
  <c r="A9" i="6"/>
  <c r="D8" i="6"/>
  <c r="C8" i="6"/>
  <c r="B8" i="6"/>
  <c r="A8" i="6"/>
  <c r="D7" i="6"/>
  <c r="C7" i="6"/>
  <c r="B7" i="6"/>
  <c r="A7" i="6"/>
  <c r="C3" i="6"/>
  <c r="B1" i="6"/>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D1" i="1"/>
  <c r="D1" i="6" s="1"/>
</calcChain>
</file>

<file path=xl/sharedStrings.xml><?xml version="1.0" encoding="utf-8"?>
<sst xmlns="http://schemas.openxmlformats.org/spreadsheetml/2006/main" count="131" uniqueCount="98">
  <si>
    <t>記入日</t>
  </si>
  <si>
    <t>注　文　書</t>
  </si>
  <si>
    <t>下記のとおり注文します。</t>
  </si>
  <si>
    <t>納入指定
月　日</t>
  </si>
  <si>
    <t>品　　名</t>
  </si>
  <si>
    <t>備　考</t>
  </si>
  <si>
    <t>数　量</t>
  </si>
  <si>
    <t>【豚肉】</t>
  </si>
  <si>
    <t>豚こま</t>
  </si>
  <si>
    <t>豚こま（脂なし）</t>
  </si>
  <si>
    <t>豚ももこま</t>
  </si>
  <si>
    <t>豚ももこま（脂なし）</t>
  </si>
  <si>
    <t>角切り</t>
  </si>
  <si>
    <t>豚ひき</t>
  </si>
  <si>
    <t>豚ひき（脂なし）</t>
  </si>
  <si>
    <t>豚ももひき</t>
  </si>
  <si>
    <t>豚ももひき（脂なし）</t>
  </si>
  <si>
    <t>豚バラ</t>
  </si>
  <si>
    <t>豚カタロース</t>
  </si>
  <si>
    <t>豚ロース</t>
  </si>
  <si>
    <t>豚ロース（脂なし）</t>
  </si>
  <si>
    <t>豚ヒレ</t>
  </si>
  <si>
    <t>豚レバー</t>
  </si>
  <si>
    <t>豚ガラパック</t>
  </si>
  <si>
    <t>【鶏肉】</t>
  </si>
  <si>
    <t>鶏ムネこま</t>
  </si>
  <si>
    <t>鶏ムネこま（皮なし）</t>
  </si>
  <si>
    <t>鶏モモこま</t>
  </si>
  <si>
    <t>鶏モモこま（皮なし）</t>
  </si>
  <si>
    <t>鶏ムネ（g指定切り身）</t>
  </si>
  <si>
    <t>鶏ムネ（g指定切り身）（皮なし）</t>
  </si>
  <si>
    <t>鶏モモ（g指定切り身）</t>
  </si>
  <si>
    <t>鶏モモ（g指定切り身）（皮なし）</t>
  </si>
  <si>
    <t>鶏ムネひき</t>
  </si>
  <si>
    <t>鶏ムネひき（皮なし）</t>
  </si>
  <si>
    <t>鶏モモひき</t>
  </si>
  <si>
    <t>鶏モモひき（皮なし）</t>
  </si>
  <si>
    <t>鶏ササミ</t>
  </si>
  <si>
    <t>鶏ササミひき</t>
  </si>
  <si>
    <t>鶏手羽元</t>
  </si>
  <si>
    <t>鶏手羽元（切り込み）</t>
  </si>
  <si>
    <t>鶏手羽先</t>
  </si>
  <si>
    <t>鶏手羽先（切り込み）</t>
  </si>
  <si>
    <t>鶏骨付きモモ</t>
  </si>
  <si>
    <t>鶏骨付きモモ（切り込み）</t>
  </si>
  <si>
    <t>鶏レバー</t>
  </si>
  <si>
    <t>鶏ガラパック</t>
  </si>
  <si>
    <t>【牛肉】</t>
  </si>
  <si>
    <t>牛スライス</t>
  </si>
  <si>
    <t>牛こま（脂なし）</t>
  </si>
  <si>
    <t>牛ひき</t>
  </si>
  <si>
    <t>牛ひき（脂なし）</t>
  </si>
  <si>
    <t>合いびき</t>
  </si>
  <si>
    <t>【ハム類】</t>
  </si>
  <si>
    <t>ロースハム</t>
  </si>
  <si>
    <t>ポークハム</t>
  </si>
  <si>
    <t>ベーコン</t>
  </si>
  <si>
    <t>ウインナー</t>
  </si>
  <si>
    <t>フランクフルト</t>
  </si>
  <si>
    <t>リストにないものも自由記入可</t>
    <rPh sb="9" eb="13">
      <t>ジユウキニュウ</t>
    </rPh>
    <rPh sb="13" eb="14">
      <t>カ</t>
    </rPh>
    <phoneticPr fontId="3"/>
  </si>
  <si>
    <t>特殊カットのみ選択　　自由記入可能</t>
    <rPh sb="0" eb="2">
      <t>トクシュ</t>
    </rPh>
    <rPh sb="7" eb="9">
      <t>センタク</t>
    </rPh>
    <rPh sb="11" eb="17">
      <t>ジユウキニュウカノウ</t>
    </rPh>
    <phoneticPr fontId="3"/>
  </si>
  <si>
    <t>kg記入統一</t>
    <rPh sb="2" eb="6">
      <t>キニュウトウイツ</t>
    </rPh>
    <phoneticPr fontId="3"/>
  </si>
  <si>
    <t>千切り</t>
    <rPh sb="0" eb="2">
      <t>センギ</t>
    </rPh>
    <phoneticPr fontId="3"/>
  </si>
  <si>
    <t>g*</t>
    <phoneticPr fontId="3"/>
  </si>
  <si>
    <t>g×</t>
    <phoneticPr fontId="3"/>
  </si>
  <si>
    <t>備考一覧</t>
    <rPh sb="2" eb="4">
      <t>イチラン</t>
    </rPh>
    <phoneticPr fontId="3"/>
  </si>
  <si>
    <t>〇/〇記入可　　順不同可能</t>
    <rPh sb="3" eb="5">
      <t>キニュウ</t>
    </rPh>
    <rPh sb="5" eb="6">
      <t>カ</t>
    </rPh>
    <rPh sb="8" eb="11">
      <t>ジュンフドウ</t>
    </rPh>
    <rPh sb="11" eb="13">
      <t>カノウ</t>
    </rPh>
    <phoneticPr fontId="3"/>
  </si>
  <si>
    <t>色紙切り</t>
    <rPh sb="0" eb="2">
      <t>シキシ</t>
    </rPh>
    <rPh sb="2" eb="3">
      <t>ギ</t>
    </rPh>
    <phoneticPr fontId="3"/>
  </si>
  <si>
    <t>短冊切り</t>
    <rPh sb="0" eb="2">
      <t>タンザク</t>
    </rPh>
    <rPh sb="2" eb="3">
      <t>ギ</t>
    </rPh>
    <phoneticPr fontId="3"/>
  </si>
  <si>
    <t>極小こま</t>
    <rPh sb="0" eb="2">
      <t>ゴクショウ</t>
    </rPh>
    <phoneticPr fontId="3"/>
  </si>
  <si>
    <t>本</t>
    <rPh sb="0" eb="1">
      <t>ホン</t>
    </rPh>
    <phoneticPr fontId="3"/>
  </si>
  <si>
    <t>いつもお世話になっています。</t>
    <rPh sb="4" eb="6">
      <t>セワ</t>
    </rPh>
    <phoneticPr fontId="3"/>
  </si>
  <si>
    <t>発注書ひな形です、ご自由に編集してお使いください。</t>
    <rPh sb="0" eb="3">
      <t>ハッチュウショ</t>
    </rPh>
    <rPh sb="5" eb="6">
      <t>ガタ</t>
    </rPh>
    <rPh sb="10" eb="12">
      <t>ジユウ</t>
    </rPh>
    <phoneticPr fontId="3"/>
  </si>
  <si>
    <t>ご不明点はお気軽にお問い合わせください。</t>
    <rPh sb="1" eb="4">
      <t>フメイテン</t>
    </rPh>
    <rPh sb="6" eb="8">
      <t>キガル</t>
    </rPh>
    <rPh sb="10" eb="11">
      <t>ト</t>
    </rPh>
    <rPh sb="12" eb="13">
      <t>ア</t>
    </rPh>
    <phoneticPr fontId="3"/>
  </si>
  <si>
    <t>g指定切りは備考欄に〇ｇ*△枚数と記入。可能であれば合計重量の記入も願います。未記入の場合枚数に合わせて合計重量計算いたします。</t>
    <rPh sb="1" eb="4">
      <t>シテイギ</t>
    </rPh>
    <rPh sb="6" eb="9">
      <t>ビコウラン</t>
    </rPh>
    <rPh sb="14" eb="16">
      <t>マイスウ</t>
    </rPh>
    <rPh sb="17" eb="19">
      <t>キニュウ</t>
    </rPh>
    <rPh sb="20" eb="22">
      <t>カノウ</t>
    </rPh>
    <rPh sb="26" eb="30">
      <t>ゴウケイジュウリョウ</t>
    </rPh>
    <rPh sb="31" eb="33">
      <t>キニュウ</t>
    </rPh>
    <rPh sb="34" eb="35">
      <t>ネガ</t>
    </rPh>
    <rPh sb="39" eb="42">
      <t>ミキニュウ</t>
    </rPh>
    <rPh sb="43" eb="45">
      <t>バアイ</t>
    </rPh>
    <rPh sb="45" eb="47">
      <t>マイスウ</t>
    </rPh>
    <rPh sb="48" eb="49">
      <t>ア</t>
    </rPh>
    <rPh sb="52" eb="56">
      <t>ゴウケイジュウリョウ</t>
    </rPh>
    <rPh sb="56" eb="58">
      <t>ケイサン</t>
    </rPh>
    <phoneticPr fontId="3"/>
  </si>
  <si>
    <t>g*　開き</t>
    <rPh sb="3" eb="4">
      <t>ヒラ</t>
    </rPh>
    <phoneticPr fontId="3"/>
  </si>
  <si>
    <t>g×　開き</t>
    <rPh sb="3" eb="4">
      <t>ヒラ</t>
    </rPh>
    <phoneticPr fontId="3"/>
  </si>
  <si>
    <t>*=×の意味です</t>
    <rPh sb="4" eb="6">
      <t>イミ</t>
    </rPh>
    <phoneticPr fontId="3"/>
  </si>
  <si>
    <t>*と×は同じ意味です、お好きな表記で構いません。g指定切りに関してはドロップダウンリストを使用せず直接キーボードでの入力が簡単です。</t>
    <rPh sb="4" eb="5">
      <t>オナ</t>
    </rPh>
    <rPh sb="6" eb="8">
      <t>イミ</t>
    </rPh>
    <rPh sb="12" eb="13">
      <t>ス</t>
    </rPh>
    <rPh sb="15" eb="17">
      <t>ヒョウキ</t>
    </rPh>
    <rPh sb="18" eb="19">
      <t>カマ</t>
    </rPh>
    <rPh sb="25" eb="27">
      <t>シテイ</t>
    </rPh>
    <rPh sb="27" eb="28">
      <t>ギ</t>
    </rPh>
    <rPh sb="30" eb="31">
      <t>カン</t>
    </rPh>
    <rPh sb="45" eb="47">
      <t>シヨウ</t>
    </rPh>
    <rPh sb="49" eb="51">
      <t>チョクセツ</t>
    </rPh>
    <rPh sb="58" eb="60">
      <t>ニュウリョク</t>
    </rPh>
    <rPh sb="61" eb="63">
      <t>カンタン</t>
    </rPh>
    <phoneticPr fontId="3"/>
  </si>
  <si>
    <t>商品名一覧と備考欄一覧の灰色背景枠内でご自由に表記登録が可能です、宛名を変更していただければ他社様宛の発注書にも転用可能です。</t>
    <rPh sb="0" eb="5">
      <t>ショウヒンメイイチラン</t>
    </rPh>
    <rPh sb="6" eb="11">
      <t>ビコウランイチラン</t>
    </rPh>
    <rPh sb="12" eb="17">
      <t>ハイイロハイケイワク</t>
    </rPh>
    <rPh sb="17" eb="18">
      <t>ナイ</t>
    </rPh>
    <rPh sb="20" eb="22">
      <t>ジユウ</t>
    </rPh>
    <rPh sb="23" eb="25">
      <t>ヒョウキ</t>
    </rPh>
    <rPh sb="25" eb="27">
      <t>トウロク</t>
    </rPh>
    <rPh sb="28" eb="30">
      <t>カノウ</t>
    </rPh>
    <rPh sb="33" eb="35">
      <t>アテナ</t>
    </rPh>
    <rPh sb="36" eb="38">
      <t>ヘンコウ</t>
    </rPh>
    <rPh sb="46" eb="50">
      <t>タシャサマアテ</t>
    </rPh>
    <rPh sb="51" eb="54">
      <t>ハッチュウショ</t>
    </rPh>
    <rPh sb="56" eb="60">
      <t>テンヨウカノウ</t>
    </rPh>
    <phoneticPr fontId="3"/>
  </si>
  <si>
    <t>株式会社若林商店　FAX：03-3637-8501</t>
    <rPh sb="0" eb="8">
      <t>カブシキガイシャワカバヤシショウテン</t>
    </rPh>
    <phoneticPr fontId="3"/>
  </si>
  <si>
    <t>特殊な切り方指定がある場合のみ備考欄にて指定をお願いいたします。</t>
    <rPh sb="0" eb="2">
      <t>トクシュ</t>
    </rPh>
    <rPh sb="3" eb="4">
      <t>キ</t>
    </rPh>
    <rPh sb="5" eb="8">
      <t>カタシテイ</t>
    </rPh>
    <rPh sb="11" eb="13">
      <t>バアイ</t>
    </rPh>
    <rPh sb="15" eb="18">
      <t>ビコウラン</t>
    </rPh>
    <rPh sb="20" eb="22">
      <t>シテイ</t>
    </rPh>
    <rPh sb="24" eb="25">
      <t>ネガ</t>
    </rPh>
    <phoneticPr fontId="3"/>
  </si>
  <si>
    <t>説明</t>
    <rPh sb="0" eb="2">
      <t>セツメイ</t>
    </rPh>
    <phoneticPr fontId="3"/>
  </si>
  <si>
    <t>枚</t>
    <rPh sb="0" eb="1">
      <t>マイ</t>
    </rPh>
    <phoneticPr fontId="3"/>
  </si>
  <si>
    <t>商品名一覧（灰色枠内編集OKです）</t>
    <rPh sb="6" eb="12">
      <t>ハイイロワクナイヘンシュウ</t>
    </rPh>
    <phoneticPr fontId="3"/>
  </si>
  <si>
    <t>30g*45　このような簡易表記でOKです　＝30g×45枚　</t>
    <rPh sb="12" eb="16">
      <t>カンイヒョウキ</t>
    </rPh>
    <rPh sb="29" eb="30">
      <t>マイ</t>
    </rPh>
    <phoneticPr fontId="3"/>
  </si>
  <si>
    <t>繁忙期の切込みは受注不可の場合があります</t>
    <rPh sb="0" eb="3">
      <t>ハンボウキ</t>
    </rPh>
    <rPh sb="4" eb="6">
      <t>キリコ</t>
    </rPh>
    <rPh sb="8" eb="10">
      <t>ジュチュウ</t>
    </rPh>
    <rPh sb="10" eb="12">
      <t>フカ</t>
    </rPh>
    <rPh sb="13" eb="15">
      <t>バアイ</t>
    </rPh>
    <phoneticPr fontId="3"/>
  </si>
  <si>
    <t>ソフトサラミ</t>
    <phoneticPr fontId="3"/>
  </si>
  <si>
    <t>こま肉の大きさに関しましては基本的には当社規定の保育園様向けの小さめサイズで納品しています。</t>
    <rPh sb="2" eb="3">
      <t>ニク</t>
    </rPh>
    <rPh sb="4" eb="5">
      <t>オオ</t>
    </rPh>
    <rPh sb="8" eb="9">
      <t>カン</t>
    </rPh>
    <rPh sb="14" eb="17">
      <t>キホンテキ</t>
    </rPh>
    <rPh sb="19" eb="23">
      <t>トウシャキテイ</t>
    </rPh>
    <rPh sb="24" eb="29">
      <t>ホイクエンサマム</t>
    </rPh>
    <rPh sb="31" eb="32">
      <t>チイ</t>
    </rPh>
    <rPh sb="38" eb="40">
      <t>ノウヒン</t>
    </rPh>
    <phoneticPr fontId="3"/>
  </si>
  <si>
    <t>選択しない</t>
  </si>
  <si>
    <t>ササミなどの本数発注は重量未記入でOKです</t>
    <rPh sb="6" eb="8">
      <t>ホンスウ</t>
    </rPh>
    <rPh sb="8" eb="10">
      <t>ハッチュウ</t>
    </rPh>
    <rPh sb="11" eb="16">
      <t>ジュウリョウミキニュウ</t>
    </rPh>
    <phoneticPr fontId="3"/>
  </si>
  <si>
    <t>株式会社若林商店 殿</t>
    <rPh sb="0" eb="3">
      <t>ワカバヤシシゲル</t>
    </rPh>
    <rPh sb="4" eb="5">
      <t>ドノ</t>
    </rPh>
    <phoneticPr fontId="3"/>
  </si>
  <si>
    <t>園長印</t>
  </si>
  <si>
    <t>（保育園控え）</t>
    <phoneticPr fontId="3"/>
  </si>
  <si>
    <t>（業者発注票）</t>
    <phoneticPr fontId="3"/>
  </si>
  <si>
    <t>（施設名）</t>
    <phoneticPr fontId="3"/>
  </si>
  <si>
    <t>レ</t>
    <phoneticPr fontId="3"/>
  </si>
  <si>
    <t>単位呼称</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</si>
</sst>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aaa\)"/>
    <numFmt numFmtId="177" formatCode="yyyy&quot;年&quot;m&quot;月分&quot;"/>
    <numFmt numFmtId="178" formatCode="General&quot; kg&quot;"/>
  </numFmts>
  <fonts count="17" x14ac:knownFonts="1">
    <font>
      <sz val="11"/>
      <color theme="1"/>
      <name val="ＭＳ Ｐゴシック"/>
      <family val="2"/>
      <scheme val="minor"/>
    </font>
    <font>
      <b/>
      <sz val="11"/>
      <name val="ＭＳ ゴシック"/>
      <family val="3"/>
      <charset val="128"/>
    </font>
    <font>
      <sz val="11"/>
      <name val="ＭＳ ゴシック"/>
      <family val="3"/>
      <charset val="128"/>
    </font>
    <font>
      <sz val="6"/>
      <name val="ＭＳ Ｐゴシック"/>
      <family val="3"/>
      <charset val="128"/>
      <scheme val="minor"/>
    </font>
    <font>
      <sz val="11"/>
      <color theme="1"/>
      <name val="HGP教科書体"/>
      <family val="1"/>
      <charset val="128"/>
    </font>
    <font>
      <sz val="10"/>
      <name val="HGP教科書体"/>
      <family val="1"/>
      <charset val="128"/>
    </font>
    <font>
      <b/>
      <sz val="18"/>
      <name val="HGP教科書体"/>
      <family val="1"/>
      <charset val="128"/>
    </font>
    <font>
      <sz val="12"/>
      <name val="HGP教科書体"/>
      <family val="1"/>
      <charset val="128"/>
    </font>
    <font>
      <b/>
      <sz val="10"/>
      <name val="HGP教科書体"/>
      <family val="1"/>
      <charset val="128"/>
    </font>
    <font>
      <sz val="11"/>
      <name val="HGP教科書体"/>
      <family val="1"/>
      <charset val="128"/>
    </font>
    <font>
      <sz val="11"/>
      <color theme="1" tint="0.499984740745262"/>
      <name val="HGP教科書体"/>
      <family val="1"/>
      <charset val="128"/>
    </font>
    <font>
      <sz val="8"/>
      <color theme="1" tint="0.249977111117893"/>
      <name val="HGP教科書体"/>
      <family val="1"/>
      <charset val="128"/>
    </font>
    <font>
      <sz val="8"/>
      <color rgb="FF999999"/>
      <name val="HGP教科書体"/>
      <family val="1"/>
      <charset val="128"/>
    </font>
    <font>
      <sz val="16"/>
      <color rgb="FFFF0000"/>
      <name val="HGP教科書体"/>
      <family val="1"/>
      <charset val="128"/>
    </font>
    <font>
      <sz val="11"/>
      <color rgb="FF000000"/>
      <name val="HGP教科書体"/>
      <family val="1"/>
      <charset val="128"/>
    </font>
    <font>
      <sz val="9"/>
      <color theme="1"/>
      <name val="ＭＳ ゴシック"/>
      <family val="3"/>
      <charset val="128"/>
    </font>
    <font>
      <b/>
      <sz val="10"/>
      <color theme="1"/>
      <name val="ＭＳ ゴシック"/>
      <family val="3"/>
      <charset val="128"/>
    </font>
  </fonts>
  <fills count="3">
    <fill>
      <patternFill patternType="none"/>
    </fill>
    <fill>
      <patternFill patternType="gray125"/>
    </fill>
    <fill>
      <patternFill patternType="solid">
        <fgColor theme="0" tint="-4.9989318521683403E-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7">
    <xf numFmtId="0" fontId="0" fillId="0" borderId="0" xfId="0"/>
    <xf numFmtId="0" fontId="1" fillId="0" borderId="0" xfId="0" applyFont="1"/>
    <xf numFmtId="176" fontId="0" fillId="0" borderId="0" xfId="0" applyNumberFormat="1"/>
    <xf numFmtId="0" fontId="2" fillId="2" borderId="2" xfId="0" applyFont="1" applyFill="1" applyBorder="1"/>
    <xf numFmtId="0" fontId="0" fillId="2" borderId="2" xfId="0" applyFill="1" applyBorder="1"/>
    <xf numFmtId="0" fontId="1" fillId="2" borderId="2" xfId="0" applyFont="1" applyFill="1" applyBorder="1"/>
    <xf numFmtId="177" fontId="0" fillId="0" borderId="0" xfId="0" applyNumberFormat="1"/>
    <xf numFmtId="49" fontId="0" fillId="0" borderId="0" xfId="0" applyNumberFormat="1"/>
    <xf numFmtId="0" fontId="4" fillId="0" borderId="0" xfId="0" applyFont="1"/>
    <xf numFmtId="0" fontId="5" fillId="0" borderId="0" xfId="0" applyFont="1" applyAlignment="1">
      <alignment horizontal="right" vertical="center"/>
    </xf>
    <xf numFmtId="31" fontId="7" fillId="0" borderId="0" xfId="0" applyNumberFormat="1" applyFont="1" applyAlignment="1">
      <alignment horizontal="center" vertical="center" shrinkToFit="1"/>
    </xf>
    <xf numFmtId="0" fontId="5" fillId="0" borderId="0" xfId="0" applyFont="1" applyAlignment="1">
      <alignment horizontal="left"/>
    </xf>
    <xf numFmtId="0" fontId="5" fillId="0" borderId="0" xfId="0" applyFont="1" applyAlignment="1">
      <alignment horizontal="left"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10" fillId="0" borderId="0" xfId="0" applyFont="1"/>
    <xf numFmtId="0" fontId="8" fillId="0" borderId="1" xfId="0" applyFont="1" applyBorder="1" applyAlignment="1">
      <alignment horizontal="center" vertical="center" wrapText="1"/>
    </xf>
    <xf numFmtId="177" fontId="12" fillId="0" borderId="0" xfId="0" applyNumberFormat="1" applyFont="1" applyAlignment="1" applyProtection="1">
      <alignment horizontal="center" vertical="center" shrinkToFit="1"/>
      <protection locked="0"/>
    </xf>
    <xf numFmtId="176" fontId="9" fillId="0" borderId="1" xfId="0" applyNumberFormat="1" applyFont="1" applyBorder="1" applyAlignment="1" applyProtection="1">
      <alignment horizontal="center" vertical="center"/>
      <protection locked="0"/>
    </xf>
    <xf numFmtId="0" fontId="9" fillId="0" borderId="1" xfId="0" applyFont="1" applyBorder="1" applyAlignment="1" applyProtection="1">
      <alignment horizontal="center" vertical="center" shrinkToFit="1"/>
      <protection locked="0"/>
    </xf>
    <xf numFmtId="0" fontId="9" fillId="0" borderId="1" xfId="0" applyFont="1" applyBorder="1" applyAlignment="1" applyProtection="1">
      <alignment horizontal="center" vertical="center"/>
      <protection locked="0"/>
    </xf>
    <xf numFmtId="0" fontId="9" fillId="0" borderId="1" xfId="0" applyFont="1" applyBorder="1" applyAlignment="1" applyProtection="1">
      <alignment horizontal="left" vertical="center" shrinkToFit="1"/>
      <protection locked="0"/>
    </xf>
    <xf numFmtId="0" fontId="9" fillId="0" borderId="1" xfId="0" applyFont="1" applyBorder="1" applyAlignment="1" applyProtection="1">
      <alignment horizontal="left" vertical="center"/>
      <protection locked="0"/>
    </xf>
    <xf numFmtId="176" fontId="4" fillId="0" borderId="2" xfId="0" applyNumberFormat="1" applyFont="1" applyBorder="1" applyAlignment="1" applyProtection="1">
      <alignment horizontal="center"/>
      <protection locked="0"/>
    </xf>
    <xf numFmtId="0" fontId="4" fillId="0" borderId="2" xfId="0" applyFont="1" applyBorder="1" applyProtection="1">
      <protection locked="0"/>
    </xf>
    <xf numFmtId="178" fontId="9" fillId="0" borderId="1" xfId="0" applyNumberFormat="1" applyFont="1" applyBorder="1" applyAlignment="1" applyProtection="1">
      <alignment horizontal="right" vertical="center"/>
      <protection locked="0"/>
    </xf>
    <xf numFmtId="178" fontId="4" fillId="0" borderId="2" xfId="0" applyNumberFormat="1" applyFont="1" applyBorder="1" applyAlignment="1" applyProtection="1">
      <alignment horizontal="right"/>
      <protection locked="0"/>
    </xf>
    <xf numFmtId="0" fontId="14" fillId="0" borderId="0" xfId="0" applyFont="1" applyAlignment="1">
      <alignment horizontal="left" vertical="center"/>
    </xf>
    <xf numFmtId="0" fontId="15" fillId="0" borderId="2" xfId="0" applyFont="1" applyBorder="1" applyAlignment="1">
      <alignment horizontal="center"/>
    </xf>
    <xf numFmtId="0" fontId="13" fillId="0" borderId="0" xfId="0" applyFont="1" applyAlignment="1" applyProtection="1">
      <alignment horizontal="right" vertical="center"/>
      <protection locked="0"/>
    </xf>
    <xf numFmtId="0" fontId="4" fillId="0" borderId="2" xfId="0" applyFont="1" applyBorder="1"/>
    <xf numFmtId="0" fontId="6" fillId="0" borderId="0" xfId="0" applyFont="1" applyAlignment="1">
      <alignment horizontal="center" vertical="center"/>
    </xf>
    <xf numFmtId="0" fontId="4" fillId="0" borderId="0" xfId="0" applyFont="1"/>
    <xf numFmtId="0" fontId="13" fillId="0" borderId="0" xfId="0" applyFont="1" applyAlignment="1" applyProtection="1">
      <alignment horizontal="right" vertical="center"/>
      <protection locked="0"/>
    </xf>
    <xf numFmtId="0" fontId="4" fillId="0" borderId="2" xfId="0" applyFont="1" applyBorder="1"/>
    <xf numFmtId="0" fontId="0" fillId="0" borderId="2" xfId="0" applyBorder="1"/>
    <xf numFmtId="0" fontId="13" fillId="0" borderId="0" xfId="0" applyFont="1" applyAlignment="1" applyProtection="1">
      <alignment vertical="center"/>
      <protection locked="0"/>
    </xf>
    <xf numFmtId="0" fontId="14" fillId="0" borderId="0" xfId="0" applyFont="1" applyAlignment="1">
      <alignment horizontal="center" vertical="center"/>
    </xf>
    <xf numFmtId="0" fontId="15" fillId="0" borderId="3" xfId="0" applyFont="1" applyBorder="1" applyAlignment="1">
      <alignment horizontal="left" vertical="top"/>
    </xf>
    <xf numFmtId="0" fontId="8" fillId="0" borderId="4" xfId="0" applyFont="1" applyBorder="1" applyAlignment="1">
      <alignment horizontal="center" vertical="center" wrapText="1"/>
    </xf>
    <xf numFmtId="0" fontId="9" fillId="0" borderId="4" xfId="0" applyFont="1" applyBorder="1" applyAlignment="1" applyProtection="1">
      <alignment horizontal="center" vertical="center"/>
      <protection locked="0"/>
    </xf>
    <xf numFmtId="0" fontId="9" fillId="0" borderId="4" xfId="0" applyFont="1" applyBorder="1" applyAlignment="1" applyProtection="1">
      <alignment horizontal="left" vertical="center"/>
      <protection locked="0"/>
    </xf>
    <xf numFmtId="0" fontId="4" fillId="0" borderId="5" xfId="0" applyFont="1" applyBorder="1" applyProtection="1">
      <protection locked="0"/>
    </xf>
    <xf numFmtId="0" fontId="4" fillId="0" borderId="6" xfId="0" applyFont="1" applyBorder="1" applyProtection="1">
      <protection locked="0"/>
    </xf>
    <xf numFmtId="0" fontId="16" fillId="0" borderId="2" xfId="0" applyFont="1" applyBorder="1" applyAlignment="1">
      <alignment horizontal="center" vertical="center"/>
    </xf>
    <xf numFmtId="0" fontId="15" fillId="0" borderId="7" xfId="0" applyFont="1" applyBorder="1" applyAlignment="1">
      <alignment horizontal="left" vertical="top"/>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16" fillId="0" borderId="11" xfId="0" applyFont="1" applyBorder="1" applyAlignment="1">
      <alignment horizontal="center" vertical="center"/>
    </xf>
    <xf numFmtId="176" fontId="9" fillId="0" borderId="12" xfId="0" applyNumberFormat="1" applyFont="1" applyBorder="1" applyAlignment="1" applyProtection="1">
      <alignment horizontal="center" vertical="center"/>
      <protection locked="0"/>
    </xf>
    <xf numFmtId="0" fontId="4" fillId="0" borderId="13" xfId="0" applyFont="1" applyBorder="1"/>
    <xf numFmtId="176" fontId="4" fillId="0" borderId="14" xfId="0" applyNumberFormat="1" applyFont="1" applyBorder="1" applyAlignment="1" applyProtection="1">
      <alignment horizontal="center"/>
      <protection locked="0"/>
    </xf>
    <xf numFmtId="176" fontId="4" fillId="0" borderId="15" xfId="0" applyNumberFormat="1" applyFont="1" applyBorder="1" applyAlignment="1" applyProtection="1">
      <alignment horizontal="center"/>
      <protection locked="0"/>
    </xf>
    <xf numFmtId="0" fontId="4" fillId="0" borderId="16" xfId="0" applyFont="1" applyBorder="1" applyProtection="1">
      <protection locked="0"/>
    </xf>
    <xf numFmtId="178" fontId="4" fillId="0" borderId="16" xfId="0" applyNumberFormat="1" applyFont="1" applyBorder="1" applyAlignment="1" applyProtection="1">
      <alignment horizontal="right"/>
      <protection locked="0"/>
    </xf>
    <xf numFmtId="0" fontId="4" fillId="0" borderId="17" xfId="0" applyFont="1" applyBorder="1"/>
  </cellXfs>
  <cellStyles count="1">
    <cellStyle name="標準" xfId="0" builtinId="0"/>
  </cellStyles>
  <dxfs count="3">
    <dxf>
      <font>
        <b/>
        <i val="0"/>
        <color rgb="FF000000"/>
      </font>
    </dxf>
    <dxf>
      <font>
        <b/>
        <i val="0"/>
        <color rgb="FF000000"/>
      </font>
    </dxf>
    <dxf>
      <font>
        <b/>
        <i val="0"/>
        <color rgb="FF00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4"/>
  <sheetViews>
    <sheetView tabSelected="1" workbookViewId="0">
      <selection activeCell="D24" sqref="D24"/>
    </sheetView>
  </sheetViews>
  <sheetFormatPr defaultRowHeight="13" x14ac:dyDescent="0.2"/>
  <cols>
    <col min="1" max="1" width="9.26953125" style="8" customWidth="1"/>
    <col min="2" max="2" width="25.7265625" style="8" customWidth="1"/>
    <col min="3" max="4" width="12.90625" style="8" customWidth="1"/>
    <col min="5" max="5" width="6.1796875" style="8" customWidth="1"/>
    <col min="6" max="16384" width="8.7265625" style="8"/>
  </cols>
  <sheetData>
    <row r="1" spans="1:5" ht="22" customHeight="1" x14ac:dyDescent="0.2">
      <c r="B1" s="17" t="s">
        <v>89</v>
      </c>
      <c r="C1" s="9" t="s">
        <v>0</v>
      </c>
      <c r="D1" s="10">
        <f ca="1">TODAY()</f>
        <v>46212</v>
      </c>
    </row>
    <row r="2" spans="1:5" ht="28" customHeight="1" x14ac:dyDescent="0.2">
      <c r="A2" s="31" t="s">
        <v>1</v>
      </c>
      <c r="B2" s="32"/>
      <c r="C2" s="32"/>
      <c r="D2" s="11" t="s">
        <v>93</v>
      </c>
    </row>
    <row r="3" spans="1:5" ht="22" customHeight="1" x14ac:dyDescent="0.2">
      <c r="A3" s="37"/>
      <c r="B3" s="37" t="s">
        <v>91</v>
      </c>
      <c r="C3" s="36"/>
      <c r="D3" s="36"/>
    </row>
    <row r="4" spans="1:5" ht="14" customHeight="1" x14ac:dyDescent="0.2">
      <c r="A4" s="12" t="s">
        <v>2</v>
      </c>
      <c r="C4" s="36"/>
      <c r="D4" s="36"/>
    </row>
    <row r="5" spans="1:5" ht="34.5" customHeight="1" x14ac:dyDescent="0.2">
      <c r="A5" s="12"/>
      <c r="C5" s="36" t="s">
        <v>95</v>
      </c>
      <c r="D5" s="29"/>
    </row>
    <row r="6" spans="1:5" s="15" customFormat="1" ht="25.5" customHeight="1" x14ac:dyDescent="0.2">
      <c r="A6" s="13" t="s">
        <v>66</v>
      </c>
      <c r="B6" s="14" t="s">
        <v>59</v>
      </c>
      <c r="C6" s="14" t="s">
        <v>61</v>
      </c>
      <c r="D6" s="13" t="s">
        <v>60</v>
      </c>
    </row>
    <row r="7" spans="1:5" ht="34" customHeight="1" x14ac:dyDescent="0.2">
      <c r="A7" s="16" t="s">
        <v>3</v>
      </c>
      <c r="B7" s="16" t="s">
        <v>4</v>
      </c>
      <c r="C7" s="39" t="s">
        <v>97</v>
      </c>
      <c r="D7" s="16" t="s">
        <v>6</v>
      </c>
      <c r="E7" s="44" t="s">
        <v>96</v>
      </c>
    </row>
    <row r="8" spans="1:5" ht="30" customHeight="1" x14ac:dyDescent="0.2">
      <c r="A8" s="18"/>
      <c r="B8" s="19"/>
      <c r="C8" s="40"/>
      <c r="D8" s="25"/>
      <c r="E8" s="30"/>
    </row>
    <row r="9" spans="1:5" ht="30" customHeight="1" x14ac:dyDescent="0.2">
      <c r="A9" s="18"/>
      <c r="B9" s="21"/>
      <c r="C9" s="41"/>
      <c r="D9" s="25"/>
      <c r="E9" s="30"/>
    </row>
    <row r="10" spans="1:5" ht="30" customHeight="1" x14ac:dyDescent="0.2">
      <c r="A10" s="18"/>
      <c r="B10" s="21"/>
      <c r="C10" s="41"/>
      <c r="D10" s="25"/>
      <c r="E10" s="30"/>
    </row>
    <row r="11" spans="1:5" ht="30" customHeight="1" x14ac:dyDescent="0.2">
      <c r="A11" s="18"/>
      <c r="B11" s="21"/>
      <c r="C11" s="41"/>
      <c r="D11" s="25"/>
      <c r="E11" s="30"/>
    </row>
    <row r="12" spans="1:5" ht="30" customHeight="1" x14ac:dyDescent="0.2">
      <c r="A12" s="18"/>
      <c r="B12" s="21"/>
      <c r="C12" s="41"/>
      <c r="D12" s="25"/>
      <c r="E12" s="30"/>
    </row>
    <row r="13" spans="1:5" ht="30" customHeight="1" x14ac:dyDescent="0.2">
      <c r="A13" s="18"/>
      <c r="B13" s="21"/>
      <c r="C13" s="41"/>
      <c r="D13" s="25"/>
      <c r="E13" s="30"/>
    </row>
    <row r="14" spans="1:5" ht="30" customHeight="1" x14ac:dyDescent="0.2">
      <c r="A14" s="18"/>
      <c r="B14" s="21"/>
      <c r="C14" s="41"/>
      <c r="D14" s="25"/>
      <c r="E14" s="30"/>
    </row>
    <row r="15" spans="1:5" ht="30" customHeight="1" x14ac:dyDescent="0.2">
      <c r="A15" s="18"/>
      <c r="B15" s="21"/>
      <c r="C15" s="41"/>
      <c r="D15" s="25"/>
      <c r="E15" s="30"/>
    </row>
    <row r="16" spans="1:5" ht="30" customHeight="1" x14ac:dyDescent="0.2">
      <c r="A16" s="18"/>
      <c r="B16" s="21"/>
      <c r="C16" s="41"/>
      <c r="D16" s="25"/>
      <c r="E16" s="30"/>
    </row>
    <row r="17" spans="1:5" ht="30" customHeight="1" x14ac:dyDescent="0.2">
      <c r="A17" s="18"/>
      <c r="B17" s="21"/>
      <c r="C17" s="41"/>
      <c r="D17" s="25"/>
      <c r="E17" s="30"/>
    </row>
    <row r="18" spans="1:5" ht="30" customHeight="1" x14ac:dyDescent="0.2">
      <c r="A18" s="18"/>
      <c r="B18" s="21"/>
      <c r="C18" s="41"/>
      <c r="D18" s="25"/>
      <c r="E18" s="30"/>
    </row>
    <row r="19" spans="1:5" ht="30" customHeight="1" x14ac:dyDescent="0.2">
      <c r="A19" s="18"/>
      <c r="B19" s="21"/>
      <c r="C19" s="41"/>
      <c r="D19" s="25"/>
      <c r="E19" s="30"/>
    </row>
    <row r="20" spans="1:5" ht="30" customHeight="1" x14ac:dyDescent="0.2">
      <c r="A20" s="18"/>
      <c r="B20" s="21"/>
      <c r="C20" s="41"/>
      <c r="D20" s="25"/>
      <c r="E20" s="30"/>
    </row>
    <row r="21" spans="1:5" ht="30" customHeight="1" x14ac:dyDescent="0.2">
      <c r="A21" s="23"/>
      <c r="B21" s="24"/>
      <c r="C21" s="42"/>
      <c r="D21" s="26"/>
      <c r="E21" s="30"/>
    </row>
    <row r="22" spans="1:5" ht="30" customHeight="1" x14ac:dyDescent="0.2">
      <c r="A22" s="23"/>
      <c r="B22" s="24"/>
      <c r="C22" s="42"/>
      <c r="D22" s="26"/>
      <c r="E22" s="30"/>
    </row>
    <row r="23" spans="1:5" ht="30" customHeight="1" thickBot="1" x14ac:dyDescent="0.25">
      <c r="A23" s="23"/>
      <c r="B23" s="24"/>
      <c r="C23" s="43"/>
      <c r="D23" s="26"/>
      <c r="E23" s="30"/>
    </row>
    <row r="24" spans="1:5" ht="61.5" customHeight="1" thickBot="1" x14ac:dyDescent="0.25">
      <c r="D24" s="38" t="s">
        <v>92</v>
      </c>
    </row>
  </sheetData>
  <mergeCells count="1">
    <mergeCell ref="A2:C2"/>
  </mergeCells>
  <phoneticPr fontId="3"/>
  <conditionalFormatting sqref="B1">
    <cfRule type="expression" dxfId="2" priority="1" stopIfTrue="1">
      <formula>ISNUMBER($B$1)</formula>
    </cfRule>
  </conditionalFormatting>
  <pageMargins left="0.39370078740157483" right="0.39370078740157483" top="0.3" bottom="0.3" header="0.5" footer="0.5"/>
  <pageSetup paperSize="11" scale="77" orientation="portrait" r:id="rId1"/>
  <extLst>
    <ext xmlns:x14="http://schemas.microsoft.com/office/spreadsheetml/2009/9/main" uri="{CCE6A557-97BC-4b89-ADB6-D9C93CAAB3DF}">
      <x14:dataValidations xmlns:xm="http://schemas.microsoft.com/office/excel/2006/main" count="4">
        <x14:dataValidation type="list" allowBlank="1" showInputMessage="1" xr:uid="{D67EA904-5FF8-4687-8A2C-124F5F44FD48}">
          <x14:formula1>
            <xm:f>OFFSET(日付リスト!$A$2,0,0,COUNT(日付リスト!$A$2:$A$46),1)</xm:f>
          </x14:formula1>
          <xm:sqref>A8:A23</xm:sqref>
        </x14:dataValidation>
        <x14:dataValidation type="list" allowBlank="1" showInputMessage="1" xr:uid="{01542218-C740-4094-ADE7-4A3A6884B42B}">
          <x14:formula1>
            <xm:f>日付リスト!$C$2:$C$14</xm:f>
          </x14:formula1>
          <xm:sqref>B1</xm:sqref>
        </x14:dataValidation>
        <x14:dataValidation type="list" allowBlank="1" showInputMessage="1" xr:uid="{13D6FBBB-F314-4BEC-B11B-EA8AB336D583}">
          <x14:formula1>
            <xm:f>商品名一覧!$A$2:$A$53</xm:f>
          </x14:formula1>
          <xm:sqref>B8:C23</xm:sqref>
        </x14:dataValidation>
        <x14:dataValidation type="list" allowBlank="1" showInputMessage="1" xr:uid="{F8012672-5D7E-49A8-A4B5-9FE9796B914C}">
          <x14:formula1>
            <xm:f>備考一覧!$A$2:$A$12</xm:f>
          </x14:formula1>
          <xm:sqref>C8:C23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6119-26EC-45CA-8345-248489C4CBB5}">
  <sheetPr>
    <pageSetUpPr fitToPage="1"/>
  </sheetPr>
  <dimension ref="A1:D25"/>
  <sheetViews>
    <sheetView workbookViewId="0">
      <selection activeCell="H5" sqref="H5"/>
    </sheetView>
  </sheetViews>
  <sheetFormatPr defaultRowHeight="13" x14ac:dyDescent="0.2"/>
  <cols>
    <col min="1" max="1" width="9.26953125" style="8" customWidth="1"/>
    <col min="2" max="2" width="25.7265625" style="8" customWidth="1"/>
    <col min="3" max="4" width="12.90625" style="8" customWidth="1"/>
    <col min="5" max="16384" width="8.7265625" style="8"/>
  </cols>
  <sheetData>
    <row r="1" spans="1:4" ht="22" customHeight="1" x14ac:dyDescent="0.2">
      <c r="B1" s="17" t="str">
        <f>IF(注文書!B1="","",注文書!B1)</f>
        <v>選択しない</v>
      </c>
      <c r="C1" s="9" t="s">
        <v>0</v>
      </c>
      <c r="D1" s="10">
        <f ca="1">IF(注文書!D1="","",注文書!D1)</f>
        <v>46212</v>
      </c>
    </row>
    <row r="2" spans="1:4" ht="28" customHeight="1" x14ac:dyDescent="0.2">
      <c r="A2" s="31" t="s">
        <v>1</v>
      </c>
      <c r="B2" s="32"/>
      <c r="C2" s="32"/>
      <c r="D2" s="11" t="s">
        <v>94</v>
      </c>
    </row>
    <row r="3" spans="1:4" ht="22" customHeight="1" x14ac:dyDescent="0.2">
      <c r="A3" s="27" t="s">
        <v>91</v>
      </c>
      <c r="C3" s="33" t="str">
        <f>IF(注文書!C3="","",注文書!C3)</f>
        <v/>
      </c>
      <c r="D3" s="33"/>
    </row>
    <row r="4" spans="1:4" ht="14" customHeight="1" x14ac:dyDescent="0.2">
      <c r="A4" s="12" t="s">
        <v>2</v>
      </c>
      <c r="C4" s="33"/>
      <c r="D4" s="33"/>
    </row>
    <row r="5" spans="1:4" s="15" customFormat="1" ht="25.5" customHeight="1" x14ac:dyDescent="0.2">
      <c r="A5" s="13" t="s">
        <v>66</v>
      </c>
      <c r="B5" s="14" t="s">
        <v>59</v>
      </c>
      <c r="C5" s="14" t="s">
        <v>61</v>
      </c>
      <c r="D5" s="13" t="s">
        <v>60</v>
      </c>
    </row>
    <row r="6" spans="1:4" ht="34" customHeight="1" x14ac:dyDescent="0.2">
      <c r="A6" s="16" t="s">
        <v>3</v>
      </c>
      <c r="B6" s="16" t="s">
        <v>4</v>
      </c>
      <c r="C6" s="16" t="s">
        <v>6</v>
      </c>
      <c r="D6" s="16" t="s">
        <v>5</v>
      </c>
    </row>
    <row r="7" spans="1:4" ht="30" customHeight="1" x14ac:dyDescent="0.2">
      <c r="A7" s="18" t="str">
        <f>IF(注文書!A8="","",注文書!A8)</f>
        <v/>
      </c>
      <c r="B7" s="19" t="str">
        <f>IF(注文書!B8="","",注文書!B8)</f>
        <v/>
      </c>
      <c r="C7" s="25" t="str">
        <f>IF(注文書!D8="","",注文書!D8)</f>
        <v/>
      </c>
      <c r="D7" s="20" t="str">
        <f>IF(注文書!C8="","",注文書!C8)</f>
        <v/>
      </c>
    </row>
    <row r="8" spans="1:4" ht="30" customHeight="1" x14ac:dyDescent="0.2">
      <c r="A8" s="18" t="str">
        <f>IF(注文書!A9="","",注文書!A9)</f>
        <v/>
      </c>
      <c r="B8" s="21" t="str">
        <f>IF(注文書!B9="","",注文書!B9)</f>
        <v/>
      </c>
      <c r="C8" s="25" t="str">
        <f>IF(注文書!D9="","",注文書!D9)</f>
        <v/>
      </c>
      <c r="D8" s="22" t="str">
        <f>IF(注文書!C9="","",注文書!C9)</f>
        <v/>
      </c>
    </row>
    <row r="9" spans="1:4" ht="30" customHeight="1" x14ac:dyDescent="0.2">
      <c r="A9" s="18" t="str">
        <f>IF(注文書!A10="","",注文書!A10)</f>
        <v/>
      </c>
      <c r="B9" s="21" t="str">
        <f>IF(注文書!B10="","",注文書!B10)</f>
        <v/>
      </c>
      <c r="C9" s="25" t="str">
        <f>IF(注文書!D10="","",注文書!D10)</f>
        <v/>
      </c>
      <c r="D9" s="22" t="str">
        <f>IF(注文書!C10="","",注文書!C10)</f>
        <v/>
      </c>
    </row>
    <row r="10" spans="1:4" ht="30" customHeight="1" x14ac:dyDescent="0.2">
      <c r="A10" s="18" t="str">
        <f>IF(注文書!A11="","",注文書!A11)</f>
        <v/>
      </c>
      <c r="B10" s="21" t="str">
        <f>IF(注文書!B11="","",注文書!B11)</f>
        <v/>
      </c>
      <c r="C10" s="25" t="str">
        <f>IF(注文書!D11="","",注文書!D11)</f>
        <v/>
      </c>
      <c r="D10" s="22" t="str">
        <f>IF(注文書!C11="","",注文書!C11)</f>
        <v/>
      </c>
    </row>
    <row r="11" spans="1:4" ht="30" customHeight="1" x14ac:dyDescent="0.2">
      <c r="A11" s="18" t="str">
        <f>IF(注文書!A12="","",注文書!A12)</f>
        <v/>
      </c>
      <c r="B11" s="21" t="str">
        <f>IF(注文書!B12="","",注文書!B12)</f>
        <v/>
      </c>
      <c r="C11" s="25" t="str">
        <f>IF(注文書!D12="","",注文書!D12)</f>
        <v/>
      </c>
      <c r="D11" s="22" t="str">
        <f>IF(注文書!C12="","",注文書!C12)</f>
        <v/>
      </c>
    </row>
    <row r="12" spans="1:4" ht="30" customHeight="1" x14ac:dyDescent="0.2">
      <c r="A12" s="18" t="str">
        <f>IF(注文書!A13="","",注文書!A13)</f>
        <v/>
      </c>
      <c r="B12" s="21" t="str">
        <f>IF(注文書!B13="","",注文書!B13)</f>
        <v/>
      </c>
      <c r="C12" s="25" t="str">
        <f>IF(注文書!D13="","",注文書!D13)</f>
        <v/>
      </c>
      <c r="D12" s="22" t="str">
        <f>IF(注文書!C13="","",注文書!C13)</f>
        <v/>
      </c>
    </row>
    <row r="13" spans="1:4" ht="30" customHeight="1" x14ac:dyDescent="0.2">
      <c r="A13" s="18" t="str">
        <f>IF(注文書!A14="","",注文書!A14)</f>
        <v/>
      </c>
      <c r="B13" s="21" t="str">
        <f>IF(注文書!B14="","",注文書!B14)</f>
        <v/>
      </c>
      <c r="C13" s="25" t="str">
        <f>IF(注文書!D14="","",注文書!D14)</f>
        <v/>
      </c>
      <c r="D13" s="22" t="str">
        <f>IF(注文書!C14="","",注文書!C14)</f>
        <v/>
      </c>
    </row>
    <row r="14" spans="1:4" ht="30" customHeight="1" x14ac:dyDescent="0.2">
      <c r="A14" s="18" t="str">
        <f>IF(注文書!A15="","",注文書!A15)</f>
        <v/>
      </c>
      <c r="B14" s="21" t="str">
        <f>IF(注文書!B15="","",注文書!B15)</f>
        <v/>
      </c>
      <c r="C14" s="25" t="str">
        <f>IF(注文書!D15="","",注文書!D15)</f>
        <v/>
      </c>
      <c r="D14" s="22" t="str">
        <f>IF(注文書!C15="","",注文書!C15)</f>
        <v/>
      </c>
    </row>
    <row r="15" spans="1:4" ht="30" customHeight="1" x14ac:dyDescent="0.2">
      <c r="A15" s="18" t="str">
        <f>IF(注文書!A16="","",注文書!A16)</f>
        <v/>
      </c>
      <c r="B15" s="21" t="str">
        <f>IF(注文書!B16="","",注文書!B16)</f>
        <v/>
      </c>
      <c r="C15" s="25" t="str">
        <f>IF(注文書!D16="","",注文書!D16)</f>
        <v/>
      </c>
      <c r="D15" s="22" t="str">
        <f>IF(注文書!C16="","",注文書!C16)</f>
        <v/>
      </c>
    </row>
    <row r="16" spans="1:4" ht="30" customHeight="1" x14ac:dyDescent="0.2">
      <c r="A16" s="18" t="str">
        <f>IF(注文書!A17="","",注文書!A17)</f>
        <v/>
      </c>
      <c r="B16" s="21" t="str">
        <f>IF(注文書!B17="","",注文書!B17)</f>
        <v/>
      </c>
      <c r="C16" s="25" t="str">
        <f>IF(注文書!D17="","",注文書!D17)</f>
        <v/>
      </c>
      <c r="D16" s="22" t="str">
        <f>IF(注文書!C17="","",注文書!C17)</f>
        <v/>
      </c>
    </row>
    <row r="17" spans="1:4" ht="30" customHeight="1" x14ac:dyDescent="0.2">
      <c r="A17" s="18" t="str">
        <f>IF(注文書!A18="","",注文書!A18)</f>
        <v/>
      </c>
      <c r="B17" s="21" t="str">
        <f>IF(注文書!B18="","",注文書!B18)</f>
        <v/>
      </c>
      <c r="C17" s="25" t="str">
        <f>IF(注文書!D18="","",注文書!D18)</f>
        <v/>
      </c>
      <c r="D17" s="22" t="str">
        <f>IF(注文書!C18="","",注文書!C18)</f>
        <v/>
      </c>
    </row>
    <row r="18" spans="1:4" ht="30" customHeight="1" x14ac:dyDescent="0.2">
      <c r="A18" s="18" t="str">
        <f>IF(注文書!A19="","",注文書!A19)</f>
        <v/>
      </c>
      <c r="B18" s="21" t="str">
        <f>IF(注文書!B19="","",注文書!B19)</f>
        <v/>
      </c>
      <c r="C18" s="25" t="str">
        <f>IF(注文書!D19="","",注文書!D19)</f>
        <v/>
      </c>
      <c r="D18" s="22" t="str">
        <f>IF(注文書!C19="","",注文書!C19)</f>
        <v/>
      </c>
    </row>
    <row r="19" spans="1:4" ht="30" customHeight="1" x14ac:dyDescent="0.2">
      <c r="A19" s="18" t="str">
        <f>IF(注文書!A20="","",注文書!A20)</f>
        <v/>
      </c>
      <c r="B19" s="21" t="str">
        <f>IF(注文書!B20="","",注文書!B20)</f>
        <v/>
      </c>
      <c r="C19" s="25" t="str">
        <f>IF(注文書!D20="","",注文書!D20)</f>
        <v/>
      </c>
      <c r="D19" s="22" t="str">
        <f>IF(注文書!C20="","",注文書!C20)</f>
        <v/>
      </c>
    </row>
    <row r="20" spans="1:4" ht="30" customHeight="1" x14ac:dyDescent="0.2">
      <c r="A20" s="23" t="str">
        <f>IF(注文書!A21="","",注文書!A21)</f>
        <v/>
      </c>
      <c r="B20" s="24" t="str">
        <f>IF(注文書!B21="","",注文書!B21)</f>
        <v/>
      </c>
      <c r="C20" s="26" t="str">
        <f>IF(注文書!D21="","",注文書!D21)</f>
        <v/>
      </c>
      <c r="D20" s="24" t="str">
        <f>IF(注文書!C21="","",注文書!C21)</f>
        <v/>
      </c>
    </row>
    <row r="21" spans="1:4" ht="30" customHeight="1" x14ac:dyDescent="0.2">
      <c r="A21" s="23" t="str">
        <f>IF(注文書!A22="","",注文書!A22)</f>
        <v/>
      </c>
      <c r="B21" s="24" t="str">
        <f>IF(注文書!B22="","",注文書!B22)</f>
        <v/>
      </c>
      <c r="C21" s="26" t="str">
        <f>IF(注文書!D22="","",注文書!D22)</f>
        <v/>
      </c>
      <c r="D21" s="24" t="str">
        <f>IF(注文書!C22="","",注文書!C22)</f>
        <v/>
      </c>
    </row>
    <row r="22" spans="1:4" ht="30" customHeight="1" x14ac:dyDescent="0.2">
      <c r="A22" s="23" t="str">
        <f>IF(注文書!A23="","",注文書!A23)</f>
        <v/>
      </c>
      <c r="B22" s="24" t="str">
        <f>IF(注文書!B23="","",注文書!B23)</f>
        <v/>
      </c>
      <c r="C22" s="26" t="str">
        <f>IF(注文書!D23="","",注文書!D23)</f>
        <v/>
      </c>
      <c r="D22" s="24" t="str">
        <f>IF(注文書!C23="","",注文書!C23)</f>
        <v/>
      </c>
    </row>
    <row r="23" spans="1:4" ht="16" customHeight="1" x14ac:dyDescent="0.2">
      <c r="D23" s="28" t="s">
        <v>92</v>
      </c>
    </row>
    <row r="24" spans="1:4" ht="26" customHeight="1" x14ac:dyDescent="0.2">
      <c r="D24" s="34"/>
    </row>
    <row r="25" spans="1:4" ht="26" customHeight="1" x14ac:dyDescent="0.2">
      <c r="D25" s="35"/>
    </row>
  </sheetData>
  <mergeCells count="3">
    <mergeCell ref="A2:C2"/>
    <mergeCell ref="C3:D4"/>
    <mergeCell ref="D24:D25"/>
  </mergeCells>
  <phoneticPr fontId="3"/>
  <conditionalFormatting sqref="B1">
    <cfRule type="expression" dxfId="1" priority="1" stopIfTrue="1">
      <formula>ISNUMBER($B$1)</formula>
    </cfRule>
  </conditionalFormatting>
  <pageMargins left="0.39370078740157483" right="0.39370078740157483" top="0.3" bottom="0.3" header="0.5" footer="0.5"/>
  <pageSetup paperSize="11" scale="8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93A61-3775-4FAC-9AC3-10FEA470F75D}">
  <sheetPr>
    <pageSetUpPr fitToPage="1"/>
  </sheetPr>
  <dimension ref="A1:E24"/>
  <sheetViews>
    <sheetView workbookViewId="0">
      <selection activeCell="E23" sqref="A7:E23"/>
    </sheetView>
  </sheetViews>
  <sheetFormatPr defaultRowHeight="13" x14ac:dyDescent="0.2"/>
  <cols>
    <col min="1" max="1" width="9.26953125" style="8" customWidth="1"/>
    <col min="2" max="2" width="25.7265625" style="8" customWidth="1"/>
    <col min="3" max="4" width="12.90625" style="8" customWidth="1"/>
    <col min="5" max="5" width="6.1796875" style="8" customWidth="1"/>
    <col min="6" max="16384" width="8.7265625" style="8"/>
  </cols>
  <sheetData>
    <row r="1" spans="1:5" ht="22" customHeight="1" x14ac:dyDescent="0.2">
      <c r="B1" s="17" t="s">
        <v>89</v>
      </c>
      <c r="C1" s="9" t="s">
        <v>0</v>
      </c>
      <c r="D1" s="10">
        <f ca="1">TODAY()</f>
        <v>46212</v>
      </c>
    </row>
    <row r="2" spans="1:5" ht="28" customHeight="1" x14ac:dyDescent="0.2">
      <c r="A2" s="31" t="s">
        <v>1</v>
      </c>
      <c r="B2" s="32"/>
      <c r="C2" s="32"/>
      <c r="D2" s="11" t="s">
        <v>93</v>
      </c>
    </row>
    <row r="3" spans="1:5" ht="22" customHeight="1" x14ac:dyDescent="0.2">
      <c r="A3" s="37"/>
      <c r="B3" s="37" t="s">
        <v>91</v>
      </c>
      <c r="C3" s="36"/>
      <c r="D3" s="36"/>
    </row>
    <row r="4" spans="1:5" ht="14" customHeight="1" x14ac:dyDescent="0.2">
      <c r="A4" s="12" t="s">
        <v>2</v>
      </c>
      <c r="C4" s="36"/>
      <c r="D4" s="36"/>
    </row>
    <row r="5" spans="1:5" ht="34.5" customHeight="1" x14ac:dyDescent="0.2">
      <c r="A5" s="12"/>
      <c r="C5" s="36" t="s">
        <v>95</v>
      </c>
      <c r="D5" s="29"/>
    </row>
    <row r="6" spans="1:5" s="15" customFormat="1" ht="25.5" customHeight="1" thickBot="1" x14ac:dyDescent="0.25">
      <c r="A6" s="13" t="s">
        <v>66</v>
      </c>
      <c r="B6" s="14" t="s">
        <v>59</v>
      </c>
      <c r="C6" s="14" t="s">
        <v>61</v>
      </c>
      <c r="D6" s="13" t="s">
        <v>60</v>
      </c>
    </row>
    <row r="7" spans="1:5" ht="22" customHeight="1" x14ac:dyDescent="0.2">
      <c r="A7" s="46" t="s">
        <v>3</v>
      </c>
      <c r="B7" s="47" t="s">
        <v>4</v>
      </c>
      <c r="C7" s="48" t="s">
        <v>97</v>
      </c>
      <c r="D7" s="47" t="s">
        <v>6</v>
      </c>
      <c r="E7" s="49" t="s">
        <v>96</v>
      </c>
    </row>
    <row r="8" spans="1:5" ht="22" customHeight="1" x14ac:dyDescent="0.2">
      <c r="A8" s="50"/>
      <c r="B8" s="19"/>
      <c r="C8" s="40"/>
      <c r="D8" s="25"/>
      <c r="E8" s="51"/>
    </row>
    <row r="9" spans="1:5" ht="22" customHeight="1" x14ac:dyDescent="0.2">
      <c r="A9" s="50"/>
      <c r="B9" s="21"/>
      <c r="C9" s="41"/>
      <c r="D9" s="25"/>
      <c r="E9" s="51"/>
    </row>
    <row r="10" spans="1:5" ht="22" customHeight="1" x14ac:dyDescent="0.2">
      <c r="A10" s="50"/>
      <c r="B10" s="21"/>
      <c r="C10" s="41"/>
      <c r="D10" s="25"/>
      <c r="E10" s="51"/>
    </row>
    <row r="11" spans="1:5" ht="22" customHeight="1" x14ac:dyDescent="0.2">
      <c r="A11" s="50"/>
      <c r="B11" s="21"/>
      <c r="C11" s="41"/>
      <c r="D11" s="25"/>
      <c r="E11" s="51"/>
    </row>
    <row r="12" spans="1:5" ht="22" customHeight="1" x14ac:dyDescent="0.2">
      <c r="A12" s="50"/>
      <c r="B12" s="21"/>
      <c r="C12" s="41"/>
      <c r="D12" s="25"/>
      <c r="E12" s="51"/>
    </row>
    <row r="13" spans="1:5" ht="22" customHeight="1" x14ac:dyDescent="0.2">
      <c r="A13" s="50"/>
      <c r="B13" s="21"/>
      <c r="C13" s="41"/>
      <c r="D13" s="25"/>
      <c r="E13" s="51"/>
    </row>
    <row r="14" spans="1:5" ht="22" customHeight="1" x14ac:dyDescent="0.2">
      <c r="A14" s="50"/>
      <c r="B14" s="21"/>
      <c r="C14" s="41"/>
      <c r="D14" s="25"/>
      <c r="E14" s="51"/>
    </row>
    <row r="15" spans="1:5" ht="22" customHeight="1" x14ac:dyDescent="0.2">
      <c r="A15" s="50"/>
      <c r="B15" s="21"/>
      <c r="C15" s="41"/>
      <c r="D15" s="25"/>
      <c r="E15" s="51"/>
    </row>
    <row r="16" spans="1:5" ht="22" customHeight="1" x14ac:dyDescent="0.2">
      <c r="A16" s="50"/>
      <c r="B16" s="21"/>
      <c r="C16" s="41"/>
      <c r="D16" s="25"/>
      <c r="E16" s="51"/>
    </row>
    <row r="17" spans="1:5" ht="22" customHeight="1" x14ac:dyDescent="0.2">
      <c r="A17" s="50"/>
      <c r="B17" s="21"/>
      <c r="C17" s="41"/>
      <c r="D17" s="25"/>
      <c r="E17" s="51"/>
    </row>
    <row r="18" spans="1:5" ht="22" customHeight="1" x14ac:dyDescent="0.2">
      <c r="A18" s="50"/>
      <c r="B18" s="21"/>
      <c r="C18" s="41"/>
      <c r="D18" s="25"/>
      <c r="E18" s="51"/>
    </row>
    <row r="19" spans="1:5" ht="22" customHeight="1" x14ac:dyDescent="0.2">
      <c r="A19" s="50"/>
      <c r="B19" s="21"/>
      <c r="C19" s="41"/>
      <c r="D19" s="25"/>
      <c r="E19" s="51"/>
    </row>
    <row r="20" spans="1:5" ht="22" customHeight="1" x14ac:dyDescent="0.2">
      <c r="A20" s="50"/>
      <c r="B20" s="21"/>
      <c r="C20" s="41"/>
      <c r="D20" s="25"/>
      <c r="E20" s="51"/>
    </row>
    <row r="21" spans="1:5" ht="22" customHeight="1" x14ac:dyDescent="0.2">
      <c r="A21" s="52"/>
      <c r="B21" s="24"/>
      <c r="C21" s="42"/>
      <c r="D21" s="26"/>
      <c r="E21" s="51"/>
    </row>
    <row r="22" spans="1:5" ht="22" customHeight="1" x14ac:dyDescent="0.2">
      <c r="A22" s="52"/>
      <c r="B22" s="24"/>
      <c r="C22" s="42"/>
      <c r="D22" s="26"/>
      <c r="E22" s="51"/>
    </row>
    <row r="23" spans="1:5" ht="22" customHeight="1" thickBot="1" x14ac:dyDescent="0.25">
      <c r="A23" s="53"/>
      <c r="B23" s="54"/>
      <c r="C23" s="54"/>
      <c r="D23" s="55"/>
      <c r="E23" s="56"/>
    </row>
    <row r="24" spans="1:5" ht="55" customHeight="1" thickBot="1" x14ac:dyDescent="0.25">
      <c r="D24" s="45" t="s">
        <v>92</v>
      </c>
    </row>
  </sheetData>
  <mergeCells count="1">
    <mergeCell ref="A2:C2"/>
  </mergeCells>
  <phoneticPr fontId="3"/>
  <conditionalFormatting sqref="B1">
    <cfRule type="expression" dxfId="0" priority="1" stopIfTrue="1">
      <formula>ISNUMBER($B$1)</formula>
    </cfRule>
  </conditionalFormatting>
  <pageMargins left="0.39370078740157483" right="0.39370078740157483" top="0.3" bottom="0.3" header="0.5" footer="0.5"/>
  <pageSetup paperSize="11" scale="97" fitToHeight="0" orientation="portrait" horizontalDpi="300" verticalDpi="300" r:id="rId1"/>
  <extLst>
    <ext xmlns:x14="http://schemas.microsoft.com/office/spreadsheetml/2009/9/main" uri="{CCE6A557-97BC-4b89-ADB6-D9C93CAAB3DF}">
      <x14:dataValidations xmlns:xm="http://schemas.microsoft.com/office/excel/2006/main" count="4">
        <x14:dataValidation type="list" allowBlank="1" showInputMessage="1" xr:uid="{6AF9C3ED-0326-43D0-AC30-C7C1B7F2A73D}">
          <x14:formula1>
            <xm:f>備考一覧!$A$2:$A$12</xm:f>
          </x14:formula1>
          <xm:sqref>C8:C23</xm:sqref>
        </x14:dataValidation>
        <x14:dataValidation type="list" allowBlank="1" showInputMessage="1" xr:uid="{8A39ED25-7715-41BF-A9C5-7A8F22D30002}">
          <x14:formula1>
            <xm:f>商品名一覧!$A$2:$A$53</xm:f>
          </x14:formula1>
          <xm:sqref>B8:C23</xm:sqref>
        </x14:dataValidation>
        <x14:dataValidation type="list" allowBlank="1" showInputMessage="1" xr:uid="{288C5C4D-FDB3-4DA2-AFF2-313CAF9EABB6}">
          <x14:formula1>
            <xm:f>日付リスト!$C$2:$C$14</xm:f>
          </x14:formula1>
          <xm:sqref>B1</xm:sqref>
        </x14:dataValidation>
        <x14:dataValidation type="list" allowBlank="1" showInputMessage="1" xr:uid="{336537E5-A39F-40F2-A987-6EC9B496D311}">
          <x14:formula1>
            <xm:f>OFFSET(日付リスト!$A$2,0,0,COUNT(日付リスト!$A$2:$A$46),1)</xm:f>
          </x14:formula1>
          <xm:sqref>A8:A23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
  <sheetViews>
    <sheetView workbookViewId="0">
      <selection activeCell="B43" sqref="B43"/>
    </sheetView>
  </sheetViews>
  <sheetFormatPr defaultRowHeight="13" x14ac:dyDescent="0.2"/>
  <cols>
    <col min="1" max="2" width="40.6328125" customWidth="1"/>
    <col min="3" max="3" width="20" customWidth="1"/>
  </cols>
  <sheetData>
    <row r="1" spans="1:2" x14ac:dyDescent="0.2">
      <c r="A1" s="1" t="s">
        <v>84</v>
      </c>
      <c r="B1" t="s">
        <v>82</v>
      </c>
    </row>
    <row r="2" spans="1:2" x14ac:dyDescent="0.2">
      <c r="A2" s="5" t="s">
        <v>7</v>
      </c>
    </row>
    <row r="3" spans="1:2" x14ac:dyDescent="0.2">
      <c r="A3" s="3" t="s">
        <v>8</v>
      </c>
    </row>
    <row r="4" spans="1:2" x14ac:dyDescent="0.2">
      <c r="A4" s="3" t="s">
        <v>9</v>
      </c>
    </row>
    <row r="5" spans="1:2" x14ac:dyDescent="0.2">
      <c r="A5" s="3" t="s">
        <v>10</v>
      </c>
    </row>
    <row r="6" spans="1:2" x14ac:dyDescent="0.2">
      <c r="A6" s="3" t="s">
        <v>11</v>
      </c>
    </row>
    <row r="7" spans="1:2" x14ac:dyDescent="0.2">
      <c r="A7" s="3" t="s">
        <v>13</v>
      </c>
    </row>
    <row r="8" spans="1:2" x14ac:dyDescent="0.2">
      <c r="A8" s="3" t="s">
        <v>14</v>
      </c>
    </row>
    <row r="9" spans="1:2" x14ac:dyDescent="0.2">
      <c r="A9" s="3" t="s">
        <v>15</v>
      </c>
    </row>
    <row r="10" spans="1:2" x14ac:dyDescent="0.2">
      <c r="A10" s="3" t="s">
        <v>16</v>
      </c>
    </row>
    <row r="11" spans="1:2" x14ac:dyDescent="0.2">
      <c r="A11" s="3" t="s">
        <v>17</v>
      </c>
    </row>
    <row r="12" spans="1:2" x14ac:dyDescent="0.2">
      <c r="A12" s="3" t="s">
        <v>18</v>
      </c>
    </row>
    <row r="13" spans="1:2" x14ac:dyDescent="0.2">
      <c r="A13" s="3" t="s">
        <v>19</v>
      </c>
    </row>
    <row r="14" spans="1:2" x14ac:dyDescent="0.2">
      <c r="A14" s="3" t="s">
        <v>20</v>
      </c>
    </row>
    <row r="15" spans="1:2" x14ac:dyDescent="0.2">
      <c r="A15" s="3" t="s">
        <v>21</v>
      </c>
    </row>
    <row r="16" spans="1:2" x14ac:dyDescent="0.2">
      <c r="A16" s="3" t="s">
        <v>22</v>
      </c>
    </row>
    <row r="17" spans="1:1" x14ac:dyDescent="0.2">
      <c r="A17" s="3" t="s">
        <v>23</v>
      </c>
    </row>
    <row r="18" spans="1:1" x14ac:dyDescent="0.2">
      <c r="A18" s="5" t="s">
        <v>24</v>
      </c>
    </row>
    <row r="19" spans="1:1" x14ac:dyDescent="0.2">
      <c r="A19" s="3" t="s">
        <v>25</v>
      </c>
    </row>
    <row r="20" spans="1:1" x14ac:dyDescent="0.2">
      <c r="A20" s="3" t="s">
        <v>26</v>
      </c>
    </row>
    <row r="21" spans="1:1" x14ac:dyDescent="0.2">
      <c r="A21" s="3" t="s">
        <v>27</v>
      </c>
    </row>
    <row r="22" spans="1:1" x14ac:dyDescent="0.2">
      <c r="A22" s="3" t="s">
        <v>28</v>
      </c>
    </row>
    <row r="23" spans="1:1" x14ac:dyDescent="0.2">
      <c r="A23" s="3" t="s">
        <v>29</v>
      </c>
    </row>
    <row r="24" spans="1:1" x14ac:dyDescent="0.2">
      <c r="A24" s="3" t="s">
        <v>30</v>
      </c>
    </row>
    <row r="25" spans="1:1" x14ac:dyDescent="0.2">
      <c r="A25" s="3" t="s">
        <v>31</v>
      </c>
    </row>
    <row r="26" spans="1:1" x14ac:dyDescent="0.2">
      <c r="A26" s="3" t="s">
        <v>32</v>
      </c>
    </row>
    <row r="27" spans="1:1" x14ac:dyDescent="0.2">
      <c r="A27" s="3" t="s">
        <v>33</v>
      </c>
    </row>
    <row r="28" spans="1:1" x14ac:dyDescent="0.2">
      <c r="A28" s="3" t="s">
        <v>34</v>
      </c>
    </row>
    <row r="29" spans="1:1" x14ac:dyDescent="0.2">
      <c r="A29" s="3" t="s">
        <v>35</v>
      </c>
    </row>
    <row r="30" spans="1:1" x14ac:dyDescent="0.2">
      <c r="A30" s="3" t="s">
        <v>36</v>
      </c>
    </row>
    <row r="31" spans="1:1" x14ac:dyDescent="0.2">
      <c r="A31" s="3" t="s">
        <v>37</v>
      </c>
    </row>
    <row r="32" spans="1:1" x14ac:dyDescent="0.2">
      <c r="A32" s="3" t="s">
        <v>38</v>
      </c>
    </row>
    <row r="33" spans="1:2" x14ac:dyDescent="0.2">
      <c r="A33" s="3" t="s">
        <v>39</v>
      </c>
    </row>
    <row r="34" spans="1:2" x14ac:dyDescent="0.2">
      <c r="A34" s="3" t="s">
        <v>40</v>
      </c>
      <c r="B34" t="s">
        <v>86</v>
      </c>
    </row>
    <row r="35" spans="1:2" x14ac:dyDescent="0.2">
      <c r="A35" s="3" t="s">
        <v>41</v>
      </c>
    </row>
    <row r="36" spans="1:2" x14ac:dyDescent="0.2">
      <c r="A36" s="3" t="s">
        <v>42</v>
      </c>
      <c r="B36" t="s">
        <v>86</v>
      </c>
    </row>
    <row r="37" spans="1:2" x14ac:dyDescent="0.2">
      <c r="A37" s="3" t="s">
        <v>43</v>
      </c>
    </row>
    <row r="38" spans="1:2" x14ac:dyDescent="0.2">
      <c r="A38" s="3" t="s">
        <v>44</v>
      </c>
      <c r="B38" t="s">
        <v>86</v>
      </c>
    </row>
    <row r="39" spans="1:2" x14ac:dyDescent="0.2">
      <c r="A39" s="3" t="s">
        <v>45</v>
      </c>
    </row>
    <row r="40" spans="1:2" x14ac:dyDescent="0.2">
      <c r="A40" s="3" t="s">
        <v>46</v>
      </c>
    </row>
    <row r="41" spans="1:2" x14ac:dyDescent="0.2">
      <c r="A41" s="5" t="s">
        <v>53</v>
      </c>
    </row>
    <row r="42" spans="1:2" x14ac:dyDescent="0.2">
      <c r="A42" s="3" t="s">
        <v>54</v>
      </c>
    </row>
    <row r="43" spans="1:2" x14ac:dyDescent="0.2">
      <c r="A43" s="3" t="s">
        <v>55</v>
      </c>
    </row>
    <row r="44" spans="1:2" x14ac:dyDescent="0.2">
      <c r="A44" s="3" t="s">
        <v>56</v>
      </c>
    </row>
    <row r="45" spans="1:2" x14ac:dyDescent="0.2">
      <c r="A45" s="3" t="s">
        <v>57</v>
      </c>
    </row>
    <row r="46" spans="1:2" x14ac:dyDescent="0.2">
      <c r="A46" s="3" t="s">
        <v>58</v>
      </c>
    </row>
    <row r="47" spans="1:2" x14ac:dyDescent="0.2">
      <c r="A47" s="3" t="s">
        <v>87</v>
      </c>
    </row>
    <row r="48" spans="1:2" x14ac:dyDescent="0.2">
      <c r="A48" s="5" t="s">
        <v>47</v>
      </c>
    </row>
    <row r="49" spans="1:1" x14ac:dyDescent="0.2">
      <c r="A49" s="3" t="s">
        <v>48</v>
      </c>
    </row>
    <row r="50" spans="1:1" x14ac:dyDescent="0.2">
      <c r="A50" s="3" t="s">
        <v>49</v>
      </c>
    </row>
    <row r="51" spans="1:1" x14ac:dyDescent="0.2">
      <c r="A51" s="3" t="s">
        <v>50</v>
      </c>
    </row>
    <row r="52" spans="1:1" x14ac:dyDescent="0.2">
      <c r="A52" s="3" t="s">
        <v>51</v>
      </c>
    </row>
    <row r="53" spans="1:1" x14ac:dyDescent="0.2">
      <c r="A53" s="3" t="s">
        <v>52</v>
      </c>
    </row>
    <row r="54" spans="1:1" x14ac:dyDescent="0.2">
      <c r="A54" s="4"/>
    </row>
    <row r="55" spans="1:1" x14ac:dyDescent="0.2">
      <c r="A55" s="4"/>
    </row>
    <row r="56" spans="1:1" x14ac:dyDescent="0.2">
      <c r="A56" s="4"/>
    </row>
    <row r="57" spans="1:1" x14ac:dyDescent="0.2">
      <c r="A57" s="4"/>
    </row>
    <row r="58" spans="1:1" x14ac:dyDescent="0.2">
      <c r="A58" s="4"/>
    </row>
    <row r="59" spans="1:1" x14ac:dyDescent="0.2">
      <c r="A59" s="4"/>
    </row>
    <row r="60" spans="1:1" x14ac:dyDescent="0.2">
      <c r="A60" s="4"/>
    </row>
    <row r="61" spans="1:1" x14ac:dyDescent="0.2">
      <c r="A61" s="4"/>
    </row>
    <row r="62" spans="1:1" x14ac:dyDescent="0.2">
      <c r="A62" s="4"/>
    </row>
    <row r="63" spans="1:1" x14ac:dyDescent="0.2">
      <c r="A63" s="4"/>
    </row>
    <row r="64" spans="1:1" x14ac:dyDescent="0.2">
      <c r="A64" s="4"/>
    </row>
    <row r="65" spans="1:1" x14ac:dyDescent="0.2">
      <c r="A65" s="4"/>
    </row>
    <row r="66" spans="1:1" x14ac:dyDescent="0.2">
      <c r="A66" s="4"/>
    </row>
    <row r="67" spans="1:1" x14ac:dyDescent="0.2">
      <c r="A67" s="4"/>
    </row>
    <row r="68" spans="1:1" x14ac:dyDescent="0.2">
      <c r="A68" s="4"/>
    </row>
    <row r="69" spans="1:1" x14ac:dyDescent="0.2">
      <c r="A69" s="4"/>
    </row>
    <row r="70" spans="1:1" x14ac:dyDescent="0.2">
      <c r="A70" s="4"/>
    </row>
    <row r="71" spans="1:1" x14ac:dyDescent="0.2">
      <c r="A71" s="4"/>
    </row>
    <row r="72" spans="1:1" x14ac:dyDescent="0.2">
      <c r="A72" s="4"/>
    </row>
    <row r="73" spans="1:1" x14ac:dyDescent="0.2">
      <c r="A73" s="4"/>
    </row>
    <row r="74" spans="1:1" x14ac:dyDescent="0.2">
      <c r="A74" s="4"/>
    </row>
    <row r="75" spans="1:1" x14ac:dyDescent="0.2">
      <c r="A75" s="4"/>
    </row>
    <row r="76" spans="1:1" x14ac:dyDescent="0.2">
      <c r="A76" s="4"/>
    </row>
    <row r="77" spans="1:1" x14ac:dyDescent="0.2">
      <c r="A77" s="4"/>
    </row>
    <row r="78" spans="1:1" x14ac:dyDescent="0.2">
      <c r="A78" s="4"/>
    </row>
    <row r="79" spans="1:1" x14ac:dyDescent="0.2">
      <c r="A79" s="4"/>
    </row>
    <row r="80" spans="1:1" x14ac:dyDescent="0.2">
      <c r="A80" s="4"/>
    </row>
    <row r="81" spans="1:1" x14ac:dyDescent="0.2">
      <c r="A81" s="4"/>
    </row>
    <row r="82" spans="1:1" x14ac:dyDescent="0.2">
      <c r="A82" s="4"/>
    </row>
    <row r="83" spans="1:1" x14ac:dyDescent="0.2">
      <c r="A83" s="4"/>
    </row>
    <row r="84" spans="1:1" x14ac:dyDescent="0.2">
      <c r="A84" s="4"/>
    </row>
    <row r="85" spans="1:1" x14ac:dyDescent="0.2">
      <c r="A85" s="4"/>
    </row>
    <row r="86" spans="1:1" x14ac:dyDescent="0.2">
      <c r="A86" s="4"/>
    </row>
    <row r="87" spans="1:1" x14ac:dyDescent="0.2">
      <c r="A87" s="4"/>
    </row>
    <row r="88" spans="1:1" x14ac:dyDescent="0.2">
      <c r="A88" s="4"/>
    </row>
    <row r="89" spans="1:1" x14ac:dyDescent="0.2">
      <c r="A89" s="4"/>
    </row>
    <row r="90" spans="1:1" x14ac:dyDescent="0.2">
      <c r="A90" s="4"/>
    </row>
    <row r="91" spans="1:1" x14ac:dyDescent="0.2">
      <c r="A91" s="4"/>
    </row>
    <row r="92" spans="1:1" x14ac:dyDescent="0.2">
      <c r="A92" s="4"/>
    </row>
    <row r="93" spans="1:1" x14ac:dyDescent="0.2">
      <c r="A93" s="4"/>
    </row>
    <row r="94" spans="1:1" x14ac:dyDescent="0.2">
      <c r="A94" s="4"/>
    </row>
    <row r="95" spans="1:1" x14ac:dyDescent="0.2">
      <c r="A95" s="4"/>
    </row>
    <row r="96" spans="1:1" x14ac:dyDescent="0.2">
      <c r="A96" s="4"/>
    </row>
    <row r="97" spans="1:1" x14ac:dyDescent="0.2">
      <c r="A97" s="4"/>
    </row>
    <row r="98" spans="1:1" x14ac:dyDescent="0.2">
      <c r="A98" s="4"/>
    </row>
    <row r="99" spans="1:1" x14ac:dyDescent="0.2">
      <c r="A99" s="4"/>
    </row>
    <row r="100" spans="1:1" x14ac:dyDescent="0.2">
      <c r="A100" s="4"/>
    </row>
    <row r="101" spans="1:1" x14ac:dyDescent="0.2">
      <c r="A101" s="4"/>
    </row>
  </sheetData>
  <phoneticPr fontId="3"/>
  <pageMargins left="0.75" right="0.75" top="1" bottom="1" header="0.5" footer="0.5"/>
  <pageSetup paperSize="9" orientation="portrait" horizontalDpi="4294967294"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E415E-C943-43E4-AE41-011A0B49F18B}">
  <dimension ref="A1:D100"/>
  <sheetViews>
    <sheetView workbookViewId="0">
      <selection activeCell="C11" sqref="C11"/>
    </sheetView>
  </sheetViews>
  <sheetFormatPr defaultRowHeight="13" x14ac:dyDescent="0.2"/>
  <cols>
    <col min="1" max="2" width="40.6328125" customWidth="1"/>
  </cols>
  <sheetData>
    <row r="1" spans="1:4" x14ac:dyDescent="0.2">
      <c r="A1" s="1" t="s">
        <v>65</v>
      </c>
      <c r="B1" t="s">
        <v>82</v>
      </c>
    </row>
    <row r="2" spans="1:4" x14ac:dyDescent="0.2">
      <c r="A2" s="3" t="s">
        <v>69</v>
      </c>
    </row>
    <row r="3" spans="1:4" x14ac:dyDescent="0.2">
      <c r="A3" s="3" t="s">
        <v>68</v>
      </c>
    </row>
    <row r="4" spans="1:4" x14ac:dyDescent="0.2">
      <c r="A4" s="3" t="s">
        <v>62</v>
      </c>
    </row>
    <row r="5" spans="1:4" x14ac:dyDescent="0.2">
      <c r="A5" s="3" t="s">
        <v>12</v>
      </c>
    </row>
    <row r="6" spans="1:4" x14ac:dyDescent="0.2">
      <c r="A6" s="3" t="s">
        <v>67</v>
      </c>
    </row>
    <row r="7" spans="1:4" x14ac:dyDescent="0.2">
      <c r="A7" s="3" t="s">
        <v>63</v>
      </c>
      <c r="B7" t="s">
        <v>85</v>
      </c>
      <c r="D7" t="s">
        <v>77</v>
      </c>
    </row>
    <row r="8" spans="1:4" x14ac:dyDescent="0.2">
      <c r="A8" s="3" t="s">
        <v>75</v>
      </c>
    </row>
    <row r="9" spans="1:4" x14ac:dyDescent="0.2">
      <c r="A9" s="3" t="s">
        <v>64</v>
      </c>
    </row>
    <row r="10" spans="1:4" x14ac:dyDescent="0.2">
      <c r="A10" s="3" t="s">
        <v>76</v>
      </c>
    </row>
    <row r="11" spans="1:4" x14ac:dyDescent="0.2">
      <c r="A11" s="3" t="s">
        <v>70</v>
      </c>
      <c r="B11" t="s">
        <v>90</v>
      </c>
    </row>
    <row r="12" spans="1:4" x14ac:dyDescent="0.2">
      <c r="A12" s="3" t="s">
        <v>83</v>
      </c>
    </row>
    <row r="13" spans="1:4" x14ac:dyDescent="0.2">
      <c r="A13" s="3"/>
    </row>
    <row r="14" spans="1:4" x14ac:dyDescent="0.2">
      <c r="A14" s="3"/>
    </row>
    <row r="15" spans="1:4" x14ac:dyDescent="0.2">
      <c r="A15" s="3"/>
    </row>
    <row r="16" spans="1:4" x14ac:dyDescent="0.2">
      <c r="A16" s="3"/>
    </row>
    <row r="17" spans="1:1" x14ac:dyDescent="0.2">
      <c r="A17" s="4"/>
    </row>
    <row r="18" spans="1:1" x14ac:dyDescent="0.2">
      <c r="A18" s="4"/>
    </row>
    <row r="19" spans="1:1" x14ac:dyDescent="0.2">
      <c r="A19" s="4"/>
    </row>
    <row r="20" spans="1:1" x14ac:dyDescent="0.2">
      <c r="A20" s="4"/>
    </row>
    <row r="21" spans="1:1" x14ac:dyDescent="0.2">
      <c r="A21" s="4"/>
    </row>
    <row r="22" spans="1:1" x14ac:dyDescent="0.2">
      <c r="A22" s="4"/>
    </row>
    <row r="23" spans="1:1" x14ac:dyDescent="0.2">
      <c r="A23" s="4"/>
    </row>
    <row r="24" spans="1:1" x14ac:dyDescent="0.2">
      <c r="A24" s="4"/>
    </row>
    <row r="25" spans="1:1" x14ac:dyDescent="0.2">
      <c r="A25" s="4"/>
    </row>
    <row r="26" spans="1:1" x14ac:dyDescent="0.2">
      <c r="A26" s="4"/>
    </row>
    <row r="27" spans="1:1" x14ac:dyDescent="0.2">
      <c r="A27" s="4"/>
    </row>
    <row r="28" spans="1:1" x14ac:dyDescent="0.2">
      <c r="A28" s="4"/>
    </row>
    <row r="29" spans="1:1" x14ac:dyDescent="0.2">
      <c r="A29" s="4"/>
    </row>
    <row r="30" spans="1:1" x14ac:dyDescent="0.2">
      <c r="A30" s="4"/>
    </row>
    <row r="31" spans="1:1" x14ac:dyDescent="0.2">
      <c r="A31" s="4"/>
    </row>
    <row r="32" spans="1:1" x14ac:dyDescent="0.2">
      <c r="A32" s="4"/>
    </row>
    <row r="33" spans="1:1" x14ac:dyDescent="0.2">
      <c r="A33" s="4"/>
    </row>
    <row r="34" spans="1:1" x14ac:dyDescent="0.2">
      <c r="A34" s="4"/>
    </row>
    <row r="35" spans="1:1" x14ac:dyDescent="0.2">
      <c r="A35" s="4"/>
    </row>
    <row r="36" spans="1:1" x14ac:dyDescent="0.2">
      <c r="A36" s="4"/>
    </row>
    <row r="37" spans="1:1" x14ac:dyDescent="0.2">
      <c r="A37" s="4"/>
    </row>
    <row r="38" spans="1:1" x14ac:dyDescent="0.2">
      <c r="A38" s="4"/>
    </row>
    <row r="39" spans="1:1" x14ac:dyDescent="0.2">
      <c r="A39" s="4"/>
    </row>
    <row r="40" spans="1:1" x14ac:dyDescent="0.2">
      <c r="A40" s="4"/>
    </row>
    <row r="41" spans="1:1" x14ac:dyDescent="0.2">
      <c r="A41" s="4"/>
    </row>
    <row r="42" spans="1:1" x14ac:dyDescent="0.2">
      <c r="A42" s="4"/>
    </row>
    <row r="43" spans="1:1" x14ac:dyDescent="0.2">
      <c r="A43" s="4"/>
    </row>
    <row r="44" spans="1:1" x14ac:dyDescent="0.2">
      <c r="A44" s="4"/>
    </row>
    <row r="45" spans="1:1" x14ac:dyDescent="0.2">
      <c r="A45" s="4"/>
    </row>
    <row r="46" spans="1:1" x14ac:dyDescent="0.2">
      <c r="A46" s="4"/>
    </row>
    <row r="47" spans="1:1" x14ac:dyDescent="0.2">
      <c r="A47" s="4"/>
    </row>
    <row r="48" spans="1:1" x14ac:dyDescent="0.2">
      <c r="A48" s="4"/>
    </row>
    <row r="49" spans="1:1" x14ac:dyDescent="0.2">
      <c r="A49" s="4"/>
    </row>
    <row r="50" spans="1:1" x14ac:dyDescent="0.2">
      <c r="A50" s="4"/>
    </row>
    <row r="51" spans="1:1" x14ac:dyDescent="0.2">
      <c r="A51" s="4"/>
    </row>
    <row r="52" spans="1:1" x14ac:dyDescent="0.2">
      <c r="A52" s="4"/>
    </row>
    <row r="53" spans="1:1" x14ac:dyDescent="0.2">
      <c r="A53" s="4"/>
    </row>
    <row r="54" spans="1:1" x14ac:dyDescent="0.2">
      <c r="A54" s="4"/>
    </row>
    <row r="55" spans="1:1" x14ac:dyDescent="0.2">
      <c r="A55" s="4"/>
    </row>
    <row r="56" spans="1:1" x14ac:dyDescent="0.2">
      <c r="A56" s="4"/>
    </row>
    <row r="57" spans="1:1" x14ac:dyDescent="0.2">
      <c r="A57" s="4"/>
    </row>
    <row r="58" spans="1:1" x14ac:dyDescent="0.2">
      <c r="A58" s="4"/>
    </row>
    <row r="59" spans="1:1" x14ac:dyDescent="0.2">
      <c r="A59" s="4"/>
    </row>
    <row r="60" spans="1:1" x14ac:dyDescent="0.2">
      <c r="A60" s="4"/>
    </row>
    <row r="61" spans="1:1" x14ac:dyDescent="0.2">
      <c r="A61" s="4"/>
    </row>
    <row r="62" spans="1:1" x14ac:dyDescent="0.2">
      <c r="A62" s="4"/>
    </row>
    <row r="63" spans="1:1" x14ac:dyDescent="0.2">
      <c r="A63" s="4"/>
    </row>
    <row r="64" spans="1:1" x14ac:dyDescent="0.2">
      <c r="A64" s="4"/>
    </row>
    <row r="65" spans="1:1" x14ac:dyDescent="0.2">
      <c r="A65" s="4"/>
    </row>
    <row r="66" spans="1:1" x14ac:dyDescent="0.2">
      <c r="A66" s="4"/>
    </row>
    <row r="67" spans="1:1" x14ac:dyDescent="0.2">
      <c r="A67" s="4"/>
    </row>
    <row r="68" spans="1:1" x14ac:dyDescent="0.2">
      <c r="A68" s="4"/>
    </row>
    <row r="69" spans="1:1" x14ac:dyDescent="0.2">
      <c r="A69" s="4"/>
    </row>
    <row r="70" spans="1:1" x14ac:dyDescent="0.2">
      <c r="A70" s="4"/>
    </row>
    <row r="71" spans="1:1" x14ac:dyDescent="0.2">
      <c r="A71" s="4"/>
    </row>
    <row r="72" spans="1:1" x14ac:dyDescent="0.2">
      <c r="A72" s="4"/>
    </row>
    <row r="73" spans="1:1" x14ac:dyDescent="0.2">
      <c r="A73" s="4"/>
    </row>
    <row r="74" spans="1:1" x14ac:dyDescent="0.2">
      <c r="A74" s="4"/>
    </row>
    <row r="75" spans="1:1" x14ac:dyDescent="0.2">
      <c r="A75" s="4"/>
    </row>
    <row r="76" spans="1:1" x14ac:dyDescent="0.2">
      <c r="A76" s="4"/>
    </row>
    <row r="77" spans="1:1" x14ac:dyDescent="0.2">
      <c r="A77" s="4"/>
    </row>
    <row r="78" spans="1:1" x14ac:dyDescent="0.2">
      <c r="A78" s="4"/>
    </row>
    <row r="79" spans="1:1" x14ac:dyDescent="0.2">
      <c r="A79" s="4"/>
    </row>
    <row r="80" spans="1:1" x14ac:dyDescent="0.2">
      <c r="A80" s="4"/>
    </row>
    <row r="81" spans="1:1" x14ac:dyDescent="0.2">
      <c r="A81" s="4"/>
    </row>
    <row r="82" spans="1:1" x14ac:dyDescent="0.2">
      <c r="A82" s="4"/>
    </row>
    <row r="83" spans="1:1" x14ac:dyDescent="0.2">
      <c r="A83" s="4"/>
    </row>
    <row r="84" spans="1:1" x14ac:dyDescent="0.2">
      <c r="A84" s="4"/>
    </row>
    <row r="85" spans="1:1" x14ac:dyDescent="0.2">
      <c r="A85" s="4"/>
    </row>
    <row r="86" spans="1:1" x14ac:dyDescent="0.2">
      <c r="A86" s="4"/>
    </row>
    <row r="87" spans="1:1" x14ac:dyDescent="0.2">
      <c r="A87" s="4"/>
    </row>
    <row r="88" spans="1:1" x14ac:dyDescent="0.2">
      <c r="A88" s="4"/>
    </row>
    <row r="89" spans="1:1" x14ac:dyDescent="0.2">
      <c r="A89" s="4"/>
    </row>
    <row r="90" spans="1:1" x14ac:dyDescent="0.2">
      <c r="A90" s="4"/>
    </row>
    <row r="91" spans="1:1" x14ac:dyDescent="0.2">
      <c r="A91" s="4"/>
    </row>
    <row r="92" spans="1:1" x14ac:dyDescent="0.2">
      <c r="A92" s="4"/>
    </row>
    <row r="93" spans="1:1" x14ac:dyDescent="0.2">
      <c r="A93" s="4"/>
    </row>
    <row r="94" spans="1:1" x14ac:dyDescent="0.2">
      <c r="A94" s="4"/>
    </row>
    <row r="95" spans="1:1" x14ac:dyDescent="0.2">
      <c r="A95" s="4"/>
    </row>
    <row r="96" spans="1:1" x14ac:dyDescent="0.2">
      <c r="A96" s="4"/>
    </row>
    <row r="97" spans="1:1" x14ac:dyDescent="0.2">
      <c r="A97" s="4"/>
    </row>
    <row r="98" spans="1:1" x14ac:dyDescent="0.2">
      <c r="A98" s="4"/>
    </row>
    <row r="99" spans="1:1" x14ac:dyDescent="0.2">
      <c r="A99" s="4"/>
    </row>
    <row r="100" spans="1:1" x14ac:dyDescent="0.2">
      <c r="A100" s="4"/>
    </row>
  </sheetData>
  <phoneticPr fontId="3"/>
  <pageMargins left="0.7" right="0.7" top="0.75" bottom="0.75" header="0.3" footer="0.3"/>
  <pageSetup paperSize="9" orientation="portrait" horizontalDpi="4294967294"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46304-64E5-4F5F-B5FE-0FABAA79331A}">
  <dimension ref="A1:A13"/>
  <sheetViews>
    <sheetView workbookViewId="0">
      <selection activeCell="A6" sqref="A6"/>
    </sheetView>
  </sheetViews>
  <sheetFormatPr defaultRowHeight="13" x14ac:dyDescent="0.2"/>
  <sheetData>
    <row r="1" spans="1:1" x14ac:dyDescent="0.2">
      <c r="A1" t="s">
        <v>71</v>
      </c>
    </row>
    <row r="2" spans="1:1" x14ac:dyDescent="0.2">
      <c r="A2" t="s">
        <v>72</v>
      </c>
    </row>
    <row r="3" spans="1:1" x14ac:dyDescent="0.2">
      <c r="A3" t="s">
        <v>73</v>
      </c>
    </row>
    <row r="5" spans="1:1" x14ac:dyDescent="0.2">
      <c r="A5" t="s">
        <v>88</v>
      </c>
    </row>
    <row r="6" spans="1:1" x14ac:dyDescent="0.2">
      <c r="A6" t="s">
        <v>81</v>
      </c>
    </row>
    <row r="8" spans="1:1" x14ac:dyDescent="0.2">
      <c r="A8" t="s">
        <v>74</v>
      </c>
    </row>
    <row r="9" spans="1:1" x14ac:dyDescent="0.2">
      <c r="A9" t="s">
        <v>78</v>
      </c>
    </row>
    <row r="11" spans="1:1" x14ac:dyDescent="0.2">
      <c r="A11" t="s">
        <v>79</v>
      </c>
    </row>
    <row r="13" spans="1:1" x14ac:dyDescent="0.2">
      <c r="A13" t="s">
        <v>80</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46"/>
  <sheetViews>
    <sheetView workbookViewId="0"/>
  </sheetViews>
  <sheetFormatPr defaultRowHeight="13" x14ac:dyDescent="0.2"/>
  <cols>
    <col min="3" max="3" width="13.54296875" bestFit="1" customWidth="1"/>
  </cols>
  <sheetData>
    <row r="2" spans="1:3" x14ac:dyDescent="0.2">
      <c r="A2" s="2">
        <f ca="1">IF(ISNUMBER(注文書!$B$1),IF(MONTH(注文書!$B$1+0)=MONTH(注文書!$B$1),注文書!$B$1+0,""),TODAY()+0)</f>
        <v>46212</v>
      </c>
      <c r="C2" s="7" t="s">
        <v>89</v>
      </c>
    </row>
    <row r="3" spans="1:3" x14ac:dyDescent="0.2">
      <c r="A3" s="2">
        <f ca="1">IF(ISNUMBER(注文書!$B$1),IF(MONTH(注文書!$B$1+1)=MONTH(注文書!$B$1),注文書!$B$1+1,""),TODAY()+1)</f>
        <v>46213</v>
      </c>
      <c r="C3" s="6">
        <v>46174</v>
      </c>
    </row>
    <row r="4" spans="1:3" x14ac:dyDescent="0.2">
      <c r="A4" s="2">
        <f ca="1">IF(ISNUMBER(注文書!$B$1),IF(MONTH(注文書!$B$1+2)=MONTH(注文書!$B$1),注文書!$B$1+2,""),TODAY()+2)</f>
        <v>46214</v>
      </c>
      <c r="C4" s="6">
        <v>46204</v>
      </c>
    </row>
    <row r="5" spans="1:3" x14ac:dyDescent="0.2">
      <c r="A5" s="2">
        <f ca="1">IF(ISNUMBER(注文書!$B$1),IF(MONTH(注文書!$B$1+3)=MONTH(注文書!$B$1),注文書!$B$1+3,""),TODAY()+3)</f>
        <v>46215</v>
      </c>
      <c r="C5" s="6">
        <v>46235</v>
      </c>
    </row>
    <row r="6" spans="1:3" x14ac:dyDescent="0.2">
      <c r="A6" s="2">
        <f ca="1">IF(ISNUMBER(注文書!$B$1),IF(MONTH(注文書!$B$1+4)=MONTH(注文書!$B$1),注文書!$B$1+4,""),TODAY()+4)</f>
        <v>46216</v>
      </c>
      <c r="C6" s="6">
        <v>46266</v>
      </c>
    </row>
    <row r="7" spans="1:3" x14ac:dyDescent="0.2">
      <c r="A7" s="2">
        <f ca="1">IF(ISNUMBER(注文書!$B$1),IF(MONTH(注文書!$B$1+5)=MONTH(注文書!$B$1),注文書!$B$1+5,""),TODAY()+5)</f>
        <v>46217</v>
      </c>
      <c r="C7" s="6">
        <v>46296</v>
      </c>
    </row>
    <row r="8" spans="1:3" x14ac:dyDescent="0.2">
      <c r="A8" s="2">
        <f ca="1">IF(ISNUMBER(注文書!$B$1),IF(MONTH(注文書!$B$1+6)=MONTH(注文書!$B$1),注文書!$B$1+6,""),TODAY()+6)</f>
        <v>46218</v>
      </c>
      <c r="C8" s="6">
        <v>46327</v>
      </c>
    </row>
    <row r="9" spans="1:3" x14ac:dyDescent="0.2">
      <c r="A9" s="2">
        <f ca="1">IF(ISNUMBER(注文書!$B$1),IF(MONTH(注文書!$B$1+7)=MONTH(注文書!$B$1),注文書!$B$1+7,""),TODAY()+7)</f>
        <v>46219</v>
      </c>
      <c r="C9" s="6">
        <v>46357</v>
      </c>
    </row>
    <row r="10" spans="1:3" x14ac:dyDescent="0.2">
      <c r="A10" s="2">
        <f ca="1">IF(ISNUMBER(注文書!$B$1),IF(MONTH(注文書!$B$1+8)=MONTH(注文書!$B$1),注文書!$B$1+8,""),TODAY()+8)</f>
        <v>46220</v>
      </c>
      <c r="C10" s="6">
        <v>46388</v>
      </c>
    </row>
    <row r="11" spans="1:3" x14ac:dyDescent="0.2">
      <c r="A11" s="2">
        <f ca="1">IF(ISNUMBER(注文書!$B$1),IF(MONTH(注文書!$B$1+9)=MONTH(注文書!$B$1),注文書!$B$1+9,""),TODAY()+9)</f>
        <v>46221</v>
      </c>
      <c r="C11" s="6">
        <v>46419</v>
      </c>
    </row>
    <row r="12" spans="1:3" x14ac:dyDescent="0.2">
      <c r="A12" s="2">
        <f ca="1">IF(ISNUMBER(注文書!$B$1),IF(MONTH(注文書!$B$1+10)=MONTH(注文書!$B$1),注文書!$B$1+10,""),TODAY()+10)</f>
        <v>46222</v>
      </c>
      <c r="C12" s="6">
        <v>46447</v>
      </c>
    </row>
    <row r="13" spans="1:3" x14ac:dyDescent="0.2">
      <c r="A13" s="2">
        <f ca="1">IF(ISNUMBER(注文書!$B$1),IF(MONTH(注文書!$B$1+11)=MONTH(注文書!$B$1),注文書!$B$1+11,""),TODAY()+11)</f>
        <v>46223</v>
      </c>
      <c r="C13" s="6">
        <v>46478</v>
      </c>
    </row>
    <row r="14" spans="1:3" x14ac:dyDescent="0.2">
      <c r="A14" s="2">
        <f ca="1">IF(ISNUMBER(注文書!$B$1),IF(MONTH(注文書!$B$1+12)=MONTH(注文書!$B$1),注文書!$B$1+12,""),TODAY()+12)</f>
        <v>46224</v>
      </c>
      <c r="C14" s="6">
        <v>46508</v>
      </c>
    </row>
    <row r="15" spans="1:3" x14ac:dyDescent="0.2">
      <c r="A15" s="2">
        <f ca="1">IF(ISNUMBER(注文書!$B$1),IF(MONTH(注文書!$B$1+13)=MONTH(注文書!$B$1),注文書!$B$1+13,""),TODAY()+13)</f>
        <v>46225</v>
      </c>
    </row>
    <row r="16" spans="1:3" x14ac:dyDescent="0.2">
      <c r="A16" s="2">
        <f ca="1">IF(ISNUMBER(注文書!$B$1),IF(MONTH(注文書!$B$1+14)=MONTH(注文書!$B$1),注文書!$B$1+14,""),TODAY()+14)</f>
        <v>46226</v>
      </c>
    </row>
    <row r="17" spans="1:1" x14ac:dyDescent="0.2">
      <c r="A17" s="2">
        <f ca="1">IF(ISNUMBER(注文書!$B$1),IF(MONTH(注文書!$B$1+15)=MONTH(注文書!$B$1),注文書!$B$1+15,""),TODAY()+15)</f>
        <v>46227</v>
      </c>
    </row>
    <row r="18" spans="1:1" x14ac:dyDescent="0.2">
      <c r="A18" s="2">
        <f ca="1">IF(ISNUMBER(注文書!$B$1),IF(MONTH(注文書!$B$1+16)=MONTH(注文書!$B$1),注文書!$B$1+16,""),TODAY()+16)</f>
        <v>46228</v>
      </c>
    </row>
    <row r="19" spans="1:1" x14ac:dyDescent="0.2">
      <c r="A19" s="2">
        <f ca="1">IF(ISNUMBER(注文書!$B$1),IF(MONTH(注文書!$B$1+17)=MONTH(注文書!$B$1),注文書!$B$1+17,""),TODAY()+17)</f>
        <v>46229</v>
      </c>
    </row>
    <row r="20" spans="1:1" x14ac:dyDescent="0.2">
      <c r="A20" s="2">
        <f ca="1">IF(ISNUMBER(注文書!$B$1),IF(MONTH(注文書!$B$1+18)=MONTH(注文書!$B$1),注文書!$B$1+18,""),TODAY()+18)</f>
        <v>46230</v>
      </c>
    </row>
    <row r="21" spans="1:1" x14ac:dyDescent="0.2">
      <c r="A21" s="2">
        <f ca="1">IF(ISNUMBER(注文書!$B$1),IF(MONTH(注文書!$B$1+19)=MONTH(注文書!$B$1),注文書!$B$1+19,""),TODAY()+19)</f>
        <v>46231</v>
      </c>
    </row>
    <row r="22" spans="1:1" x14ac:dyDescent="0.2">
      <c r="A22" s="2">
        <f ca="1">IF(ISNUMBER(注文書!$B$1),IF(MONTH(注文書!$B$1+20)=MONTH(注文書!$B$1),注文書!$B$1+20,""),TODAY()+20)</f>
        <v>46232</v>
      </c>
    </row>
    <row r="23" spans="1:1" x14ac:dyDescent="0.2">
      <c r="A23" s="2">
        <f ca="1">IF(ISNUMBER(注文書!$B$1),IF(MONTH(注文書!$B$1+21)=MONTH(注文書!$B$1),注文書!$B$1+21,""),TODAY()+21)</f>
        <v>46233</v>
      </c>
    </row>
    <row r="24" spans="1:1" x14ac:dyDescent="0.2">
      <c r="A24" s="2">
        <f ca="1">IF(ISNUMBER(注文書!$B$1),IF(MONTH(注文書!$B$1+22)=MONTH(注文書!$B$1),注文書!$B$1+22,""),TODAY()+22)</f>
        <v>46234</v>
      </c>
    </row>
    <row r="25" spans="1:1" x14ac:dyDescent="0.2">
      <c r="A25" s="2">
        <f ca="1">IF(ISNUMBER(注文書!$B$1),IF(MONTH(注文書!$B$1+23)=MONTH(注文書!$B$1),注文書!$B$1+23,""),TODAY()+23)</f>
        <v>46235</v>
      </c>
    </row>
    <row r="26" spans="1:1" x14ac:dyDescent="0.2">
      <c r="A26" s="2">
        <f ca="1">IF(ISNUMBER(注文書!$B$1),IF(MONTH(注文書!$B$1+24)=MONTH(注文書!$B$1),注文書!$B$1+24,""),TODAY()+24)</f>
        <v>46236</v>
      </c>
    </row>
    <row r="27" spans="1:1" x14ac:dyDescent="0.2">
      <c r="A27" s="2">
        <f ca="1">IF(ISNUMBER(注文書!$B$1),IF(MONTH(注文書!$B$1+25)=MONTH(注文書!$B$1),注文書!$B$1+25,""),TODAY()+25)</f>
        <v>46237</v>
      </c>
    </row>
    <row r="28" spans="1:1" x14ac:dyDescent="0.2">
      <c r="A28" s="2">
        <f ca="1">IF(ISNUMBER(注文書!$B$1),IF(MONTH(注文書!$B$1+26)=MONTH(注文書!$B$1),注文書!$B$1+26,""),TODAY()+26)</f>
        <v>46238</v>
      </c>
    </row>
    <row r="29" spans="1:1" x14ac:dyDescent="0.2">
      <c r="A29" s="2">
        <f ca="1">IF(ISNUMBER(注文書!$B$1),IF(MONTH(注文書!$B$1+27)=MONTH(注文書!$B$1),注文書!$B$1+27,""),TODAY()+27)</f>
        <v>46239</v>
      </c>
    </row>
    <row r="30" spans="1:1" x14ac:dyDescent="0.2">
      <c r="A30" s="2">
        <f ca="1">IF(ISNUMBER(注文書!$B$1),IF(MONTH(注文書!$B$1+28)=MONTH(注文書!$B$1),注文書!$B$1+28,""),TODAY()+28)</f>
        <v>46240</v>
      </c>
    </row>
    <row r="31" spans="1:1" x14ac:dyDescent="0.2">
      <c r="A31" s="2">
        <f ca="1">IF(ISNUMBER(注文書!$B$1),IF(MONTH(注文書!$B$1+29)=MONTH(注文書!$B$1),注文書!$B$1+29,""),TODAY()+29)</f>
        <v>46241</v>
      </c>
    </row>
    <row r="32" spans="1:1" x14ac:dyDescent="0.2">
      <c r="A32" s="2">
        <f ca="1">IF(ISNUMBER(注文書!$B$1),IF(MONTH(注文書!$B$1+30)=MONTH(注文書!$B$1),注文書!$B$1+30,""),TODAY()+30)</f>
        <v>46242</v>
      </c>
    </row>
    <row r="33" spans="1:1" x14ac:dyDescent="0.2">
      <c r="A33" s="2">
        <f ca="1">IF(ISNUMBER(注文書!$B$1),IF(MONTH(注文書!$B$1+31)=MONTH(注文書!$B$1),注文書!$B$1+31,""),TODAY()+31)</f>
        <v>46243</v>
      </c>
    </row>
    <row r="34" spans="1:1" x14ac:dyDescent="0.2">
      <c r="A34" s="2">
        <f ca="1">IF(ISNUMBER(注文書!$B$1),IF(MONTH(注文書!$B$1+32)=MONTH(注文書!$B$1),注文書!$B$1+32,""),TODAY()+32)</f>
        <v>46244</v>
      </c>
    </row>
    <row r="35" spans="1:1" x14ac:dyDescent="0.2">
      <c r="A35" s="2">
        <f ca="1">IF(ISNUMBER(注文書!$B$1),IF(MONTH(注文書!$B$1+33)=MONTH(注文書!$B$1),注文書!$B$1+33,""),TODAY()+33)</f>
        <v>46245</v>
      </c>
    </row>
    <row r="36" spans="1:1" x14ac:dyDescent="0.2">
      <c r="A36" s="2">
        <f ca="1">IF(ISNUMBER(注文書!$B$1),IF(MONTH(注文書!$B$1+34)=MONTH(注文書!$B$1),注文書!$B$1+34,""),TODAY()+34)</f>
        <v>46246</v>
      </c>
    </row>
    <row r="37" spans="1:1" x14ac:dyDescent="0.2">
      <c r="A37" s="2">
        <f ca="1">IF(ISNUMBER(注文書!$B$1),IF(MONTH(注文書!$B$1+35)=MONTH(注文書!$B$1),注文書!$B$1+35,""),TODAY()+35)</f>
        <v>46247</v>
      </c>
    </row>
    <row r="38" spans="1:1" x14ac:dyDescent="0.2">
      <c r="A38" s="2">
        <f ca="1">IF(ISNUMBER(注文書!$B$1),IF(MONTH(注文書!$B$1+36)=MONTH(注文書!$B$1),注文書!$B$1+36,""),TODAY()+36)</f>
        <v>46248</v>
      </c>
    </row>
    <row r="39" spans="1:1" x14ac:dyDescent="0.2">
      <c r="A39" s="2">
        <f ca="1">IF(ISNUMBER(注文書!$B$1),IF(MONTH(注文書!$B$1+37)=MONTH(注文書!$B$1),注文書!$B$1+37,""),TODAY()+37)</f>
        <v>46249</v>
      </c>
    </row>
    <row r="40" spans="1:1" x14ac:dyDescent="0.2">
      <c r="A40" s="2">
        <f ca="1">IF(ISNUMBER(注文書!$B$1),IF(MONTH(注文書!$B$1+38)=MONTH(注文書!$B$1),注文書!$B$1+38,""),TODAY()+38)</f>
        <v>46250</v>
      </c>
    </row>
    <row r="41" spans="1:1" x14ac:dyDescent="0.2">
      <c r="A41" s="2">
        <f ca="1">IF(ISNUMBER(注文書!$B$1),IF(MONTH(注文書!$B$1+39)=MONTH(注文書!$B$1),注文書!$B$1+39,""),TODAY()+39)</f>
        <v>46251</v>
      </c>
    </row>
    <row r="42" spans="1:1" x14ac:dyDescent="0.2">
      <c r="A42" s="2">
        <f ca="1">IF(ISNUMBER(注文書!$B$1),IF(MONTH(注文書!$B$1+40)=MONTH(注文書!$B$1),注文書!$B$1+40,""),TODAY()+40)</f>
        <v>46252</v>
      </c>
    </row>
    <row r="43" spans="1:1" x14ac:dyDescent="0.2">
      <c r="A43" s="2">
        <f ca="1">IF(ISNUMBER(注文書!$B$1),IF(MONTH(注文書!$B$1+41)=MONTH(注文書!$B$1),注文書!$B$1+41,""),TODAY()+41)</f>
        <v>46253</v>
      </c>
    </row>
    <row r="44" spans="1:1" x14ac:dyDescent="0.2">
      <c r="A44" s="2">
        <f ca="1">IF(ISNUMBER(注文書!$B$1),IF(MONTH(注文書!$B$1+42)=MONTH(注文書!$B$1),注文書!$B$1+42,""),TODAY()+42)</f>
        <v>46254</v>
      </c>
    </row>
    <row r="45" spans="1:1" x14ac:dyDescent="0.2">
      <c r="A45" s="2">
        <f ca="1">IF(ISNUMBER(注文書!$B$1),IF(MONTH(注文書!$B$1+43)=MONTH(注文書!$B$1),注文書!$B$1+43,""),TODAY()+43)</f>
        <v>46255</v>
      </c>
    </row>
    <row r="46" spans="1:1" x14ac:dyDescent="0.2">
      <c r="A46" s="2">
        <f ca="1">IF(ISNUMBER(注文書!$B$1),IF(MONTH(注文書!$B$1+44)=MONTH(注文書!$B$1),注文書!$B$1+44,""),TODAY()+44)</f>
        <v>46256</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3</vt:i4>
      </vt:variant>
    </vt:vector>
  </HeadingPairs>
  <TitlesOfParts>
    <vt:vector size="10" baseType="lpstr">
      <vt:lpstr>注文書</vt:lpstr>
      <vt:lpstr>業者発注票</vt:lpstr>
      <vt:lpstr>注文書 (2)</vt:lpstr>
      <vt:lpstr>商品名一覧</vt:lpstr>
      <vt:lpstr>備考一覧</vt:lpstr>
      <vt:lpstr>使い方</vt:lpstr>
      <vt:lpstr>日付リスト</vt:lpstr>
      <vt:lpstr>業者発注票!Print_Area</vt:lpstr>
      <vt:lpstr>注文書!Print_Area</vt:lpstr>
      <vt:lpstr>'注文書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賢 若林</cp:lastModifiedBy>
  <cp:lastPrinted>2026-07-09T07:59:26Z</cp:lastPrinted>
  <dcterms:created xsi:type="dcterms:W3CDTF">2026-07-06T10:13:06Z</dcterms:created>
  <dcterms:modified xsi:type="dcterms:W3CDTF">2026-07-09T07:59:49Z</dcterms:modified>
</cp:coreProperties>
</file>