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hono\Documents\株式会社若林商店\発注書書き方マニュアル\"/>
    </mc:Choice>
  </mc:AlternateContent>
  <xr:revisionPtr revIDLastSave="0" documentId="13_ncr:1_{B4304754-0D74-4023-9DBD-A76C69692526}" xr6:coauthVersionLast="47" xr6:coauthVersionMax="47" xr10:uidLastSave="{00000000-0000-0000-0000-000000000000}"/>
  <bookViews>
    <workbookView xWindow="-110" yWindow="-110" windowWidth="25820" windowHeight="15500" activeTab="1" xr2:uid="{00000000-000D-0000-FFFF-FFFF00000000}"/>
  </bookViews>
  <sheets>
    <sheet name="注文書" sheetId="1" r:id="rId1"/>
    <sheet name="商品名一覧" sheetId="2" r:id="rId2"/>
    <sheet name="備考一覧" sheetId="4" r:id="rId3"/>
    <sheet name="使い方" sheetId="5" r:id="rId4"/>
    <sheet name="日付リスト" sheetId="3" state="hidden" r:id="rId5"/>
  </sheets>
  <definedNames>
    <definedName name="_xlnm.Print_Area" localSheetId="0">注文書!$A$1:$D$22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3" l="1"/>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D1" i="1"/>
</calcChain>
</file>

<file path=xl/sharedStrings.xml><?xml version="1.0" encoding="utf-8"?>
<sst xmlns="http://schemas.openxmlformats.org/spreadsheetml/2006/main" count="94" uniqueCount="93">
  <si>
    <t>記入日</t>
  </si>
  <si>
    <t>注　文　書</t>
  </si>
  <si>
    <t>品　　名</t>
  </si>
  <si>
    <t>備　考</t>
  </si>
  <si>
    <t>数　量</t>
  </si>
  <si>
    <t>【豚肉】</t>
  </si>
  <si>
    <t>豚こま</t>
  </si>
  <si>
    <t>豚ひき</t>
  </si>
  <si>
    <t>豚バラ</t>
  </si>
  <si>
    <t>豚カタロース</t>
  </si>
  <si>
    <t>豚ロース</t>
  </si>
  <si>
    <t>豚ヒレ</t>
  </si>
  <si>
    <t>豚レバー</t>
  </si>
  <si>
    <t>豚ガラパック</t>
  </si>
  <si>
    <t>【鶏肉】</t>
  </si>
  <si>
    <t>鶏ムネこま</t>
  </si>
  <si>
    <t>鶏モモこま</t>
  </si>
  <si>
    <t>鶏ムネひき</t>
  </si>
  <si>
    <t>鶏モモひき</t>
  </si>
  <si>
    <t>鶏ササミ</t>
  </si>
  <si>
    <t>鶏ササミひき</t>
  </si>
  <si>
    <t>鶏レバー</t>
  </si>
  <si>
    <t>鶏ガラパック</t>
  </si>
  <si>
    <t>【牛肉】</t>
  </si>
  <si>
    <t>牛ひき</t>
  </si>
  <si>
    <t>リストにないものも自由記入可</t>
    <rPh sb="9" eb="13">
      <t>ジユウキニュウ</t>
    </rPh>
    <rPh sb="13" eb="14">
      <t>カ</t>
    </rPh>
    <phoneticPr fontId="3"/>
  </si>
  <si>
    <t>特殊カットのみ選択　　自由記入可能</t>
    <rPh sb="0" eb="2">
      <t>トクシュ</t>
    </rPh>
    <rPh sb="7" eb="9">
      <t>センタク</t>
    </rPh>
    <rPh sb="11" eb="17">
      <t>ジユウキニュウカノウ</t>
    </rPh>
    <phoneticPr fontId="3"/>
  </si>
  <si>
    <t>kg記入統一</t>
    <rPh sb="2" eb="6">
      <t>キニュウトウイツ</t>
    </rPh>
    <phoneticPr fontId="3"/>
  </si>
  <si>
    <t>備考一覧</t>
    <rPh sb="2" eb="4">
      <t>イチラン</t>
    </rPh>
    <phoneticPr fontId="3"/>
  </si>
  <si>
    <t>〇/〇記入可　　順不同可能</t>
    <rPh sb="3" eb="5">
      <t>キニュウ</t>
    </rPh>
    <rPh sb="5" eb="6">
      <t>カ</t>
    </rPh>
    <rPh sb="8" eb="11">
      <t>ジュンフドウ</t>
    </rPh>
    <rPh sb="11" eb="13">
      <t>カノウ</t>
    </rPh>
    <phoneticPr fontId="3"/>
  </si>
  <si>
    <t>いつもお世話になっています。</t>
    <rPh sb="4" eb="6">
      <t>セワ</t>
    </rPh>
    <phoneticPr fontId="3"/>
  </si>
  <si>
    <t>ご不明点はお気軽にお問い合わせください。</t>
    <rPh sb="1" eb="4">
      <t>フメイテン</t>
    </rPh>
    <rPh sb="6" eb="8">
      <t>キガル</t>
    </rPh>
    <rPh sb="10" eb="11">
      <t>ト</t>
    </rPh>
    <rPh sb="12" eb="13">
      <t>ア</t>
    </rPh>
    <phoneticPr fontId="3"/>
  </si>
  <si>
    <t>g指定切りは備考欄に〇ｇ*△枚数と記入。可能であれば合計重量の記入も願います。未記入の場合枚数に合わせて合計重量計算いたします。</t>
    <rPh sb="1" eb="4">
      <t>シテイギ</t>
    </rPh>
    <rPh sb="6" eb="9">
      <t>ビコウラン</t>
    </rPh>
    <rPh sb="14" eb="16">
      <t>マイスウ</t>
    </rPh>
    <rPh sb="17" eb="19">
      <t>キニュウ</t>
    </rPh>
    <rPh sb="20" eb="22">
      <t>カノウ</t>
    </rPh>
    <rPh sb="26" eb="30">
      <t>ゴウケイジュウリョウ</t>
    </rPh>
    <rPh sb="31" eb="33">
      <t>キニュウ</t>
    </rPh>
    <rPh sb="34" eb="35">
      <t>ネガ</t>
    </rPh>
    <rPh sb="39" eb="42">
      <t>ミキニュウ</t>
    </rPh>
    <rPh sb="43" eb="45">
      <t>バアイ</t>
    </rPh>
    <rPh sb="45" eb="47">
      <t>マイスウ</t>
    </rPh>
    <rPh sb="48" eb="49">
      <t>ア</t>
    </rPh>
    <rPh sb="52" eb="56">
      <t>ゴウケイジュウリョウ</t>
    </rPh>
    <rPh sb="56" eb="58">
      <t>ケイサン</t>
    </rPh>
    <phoneticPr fontId="3"/>
  </si>
  <si>
    <t>*と×は同じ意味です、お好きな表記で構いません。g指定切りに関してはドロップダウンリストを使用せず直接キーボードでの入力が簡単です。</t>
    <rPh sb="4" eb="5">
      <t>オナ</t>
    </rPh>
    <rPh sb="6" eb="8">
      <t>イミ</t>
    </rPh>
    <rPh sb="12" eb="13">
      <t>ス</t>
    </rPh>
    <rPh sb="15" eb="17">
      <t>ヒョウキ</t>
    </rPh>
    <rPh sb="18" eb="19">
      <t>カマ</t>
    </rPh>
    <rPh sb="25" eb="27">
      <t>シテイ</t>
    </rPh>
    <rPh sb="27" eb="28">
      <t>ギ</t>
    </rPh>
    <rPh sb="30" eb="31">
      <t>カン</t>
    </rPh>
    <rPh sb="45" eb="47">
      <t>シヨウ</t>
    </rPh>
    <rPh sb="49" eb="51">
      <t>チョクセツ</t>
    </rPh>
    <rPh sb="58" eb="60">
      <t>ニュウリョク</t>
    </rPh>
    <rPh sb="61" eb="63">
      <t>カンタン</t>
    </rPh>
    <phoneticPr fontId="3"/>
  </si>
  <si>
    <t>商品名一覧と備考欄一覧の灰色背景枠内でご自由に表記登録が可能です、宛名を変更していただければ他社様宛の発注書にも転用可能です。</t>
    <rPh sb="0" eb="5">
      <t>ショウヒンメイイチラン</t>
    </rPh>
    <rPh sb="6" eb="11">
      <t>ビコウランイチラン</t>
    </rPh>
    <rPh sb="12" eb="17">
      <t>ハイイロハイケイワク</t>
    </rPh>
    <rPh sb="17" eb="18">
      <t>ナイ</t>
    </rPh>
    <rPh sb="20" eb="22">
      <t>ジユウ</t>
    </rPh>
    <rPh sb="23" eb="25">
      <t>ヒョウキ</t>
    </rPh>
    <rPh sb="25" eb="27">
      <t>トウロク</t>
    </rPh>
    <rPh sb="28" eb="30">
      <t>カノウ</t>
    </rPh>
    <rPh sb="33" eb="35">
      <t>アテナ</t>
    </rPh>
    <rPh sb="36" eb="38">
      <t>ヘンコウ</t>
    </rPh>
    <rPh sb="46" eb="50">
      <t>タシャサマアテ</t>
    </rPh>
    <rPh sb="51" eb="54">
      <t>ハッチュウショ</t>
    </rPh>
    <rPh sb="56" eb="60">
      <t>テンヨウカノウ</t>
    </rPh>
    <phoneticPr fontId="3"/>
  </si>
  <si>
    <t>株式会社若林商店　FAX：03-3637-8501</t>
    <rPh sb="0" eb="8">
      <t>カブシキガイシャワカバヤシショウテン</t>
    </rPh>
    <phoneticPr fontId="3"/>
  </si>
  <si>
    <t>説明</t>
    <rPh sb="0" eb="2">
      <t>セツメイ</t>
    </rPh>
    <phoneticPr fontId="3"/>
  </si>
  <si>
    <t>商品名一覧（灰色枠内編集OKです）</t>
    <rPh sb="6" eb="12">
      <t>ハイイロワクナイヘンシュウ</t>
    </rPh>
    <phoneticPr fontId="3"/>
  </si>
  <si>
    <t>選択しない</t>
  </si>
  <si>
    <t>必要であれば年月を選択</t>
    <phoneticPr fontId="3"/>
  </si>
  <si>
    <t>納品日
月　日</t>
    <rPh sb="0" eb="3">
      <t>ノウヒンビ</t>
    </rPh>
    <phoneticPr fontId="3"/>
  </si>
  <si>
    <t>施設名記入</t>
    <rPh sb="0" eb="5">
      <t>シセツメイキニュウ</t>
    </rPh>
    <phoneticPr fontId="3"/>
  </si>
  <si>
    <t>株式会社若林商店宛　FAX03-3637-8501</t>
    <phoneticPr fontId="3"/>
  </si>
  <si>
    <t>豚こま(脂なし)</t>
  </si>
  <si>
    <t>豚モモこま</t>
  </si>
  <si>
    <t>豚モモこま(脂なし)</t>
  </si>
  <si>
    <t>豚ひき(脂なし)</t>
  </si>
  <si>
    <t>豚モモひき</t>
  </si>
  <si>
    <t>豚モモひき(脂なし)</t>
  </si>
  <si>
    <t>豚ロース(脂なし)</t>
  </si>
  <si>
    <t>鶏ムネ(g指定切り身)</t>
  </si>
  <si>
    <t>鶏ムネ(g指定切り身)(皮なし)</t>
  </si>
  <si>
    <t>鶏モモ(g指定切り身)</t>
  </si>
  <si>
    <t>鶏モモ(g指定切り)(皮なし)</t>
  </si>
  <si>
    <t>鶏ムネこま(皮なし)</t>
  </si>
  <si>
    <t>鶏モモこま(皮なし)</t>
  </si>
  <si>
    <t>鶏ムネひき(皮なし)</t>
  </si>
  <si>
    <t>鶏モモひき(皮なし)</t>
  </si>
  <si>
    <t>鶏テバモト</t>
  </si>
  <si>
    <t>鶏テバサキ</t>
  </si>
  <si>
    <t>鶏骨付モモ</t>
  </si>
  <si>
    <t>【ハム類・皮】</t>
  </si>
  <si>
    <t>ベーコン(乳卵なし)</t>
  </si>
  <si>
    <t>ポークハム(乳卵なし)</t>
  </si>
  <si>
    <t>ソフトサラミ(乳卵なし)</t>
  </si>
  <si>
    <t>ロースハム(乳卵なし)</t>
  </si>
  <si>
    <t>ウインナー(乳卵なし)</t>
  </si>
  <si>
    <t>フランクフルト(乳卵なし)</t>
  </si>
  <si>
    <t>シューマイの皮</t>
  </si>
  <si>
    <t>ギョウザの皮</t>
  </si>
  <si>
    <t>ワンタンの皮</t>
  </si>
  <si>
    <t>牛こま</t>
  </si>
  <si>
    <t>牛こま(脂なし)</t>
  </si>
  <si>
    <t>牛ひき(脂なし)</t>
  </si>
  <si>
    <t>あいびき</t>
  </si>
  <si>
    <t>角</t>
  </si>
  <si>
    <t>大きさを付けて（例 1cm角）</t>
  </si>
  <si>
    <t>色紙</t>
  </si>
  <si>
    <t>大きさを付けて（例 7mm色紙）</t>
  </si>
  <si>
    <t>短冊</t>
  </si>
  <si>
    <t>ハム・ベーコンは書かなければ短冊</t>
  </si>
  <si>
    <t>千切り</t>
  </si>
  <si>
    <t>g*</t>
  </si>
  <si>
    <t>30g*45　このような簡易表記でOKです　＝30g×45枚（*=×の意味です）</t>
  </si>
  <si>
    <t>g*　開き</t>
  </si>
  <si>
    <t>g×</t>
  </si>
  <si>
    <t>g×　開き</t>
  </si>
  <si>
    <t>本</t>
  </si>
  <si>
    <t>ササミなどの本数発注は重量未記入でOKです</t>
  </si>
  <si>
    <t>枚</t>
  </si>
  <si>
    <t>注文書のひな形です。ご自由に編集してお使いください。</t>
    <phoneticPr fontId="3"/>
  </si>
  <si>
    <t>こま肉の大きさは、基本的に当社規定の保育園様・学校様向けの小さめのサイズで納品しています。</t>
    <phoneticPr fontId="3"/>
  </si>
  <si>
    <t>特別な切り方の指定がある場合のみ、備考欄でご指定ください（切り方の言葉は「切り方と商品名の一覧表」をご覧ください）。</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</si>
</sst>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aaa\)"/>
    <numFmt numFmtId="177" formatCode="0.###&quot; kg&quot;"/>
    <numFmt numFmtId="178" formatCode="yyyy&quot;年&quot;m&quot;月分&quot;"/>
    <numFmt numFmtId="179" formatCode="General&quot; kg&quot;"/>
  </numFmts>
  <fonts count="17" x14ac:knownFonts="1">
    <font>
      <sz val="11"/>
      <color theme="1"/>
      <name val="ＭＳ Ｐゴシック"/>
      <family val="2"/>
      <scheme val="minor"/>
    </font>
    <font>
      <b/>
      <sz val="11"/>
      <name val="ＭＳ ゴシック"/>
      <family val="3"/>
      <charset val="128"/>
    </font>
    <font>
      <sz val="11"/>
      <name val="ＭＳ ゴシック"/>
      <family val="3"/>
      <charset val="128"/>
    </font>
    <font>
      <sz val="6"/>
      <name val="ＭＳ Ｐゴシック"/>
      <family val="3"/>
      <charset val="128"/>
      <scheme val="minor"/>
    </font>
    <font>
      <sz val="11"/>
      <color theme="1"/>
      <name val="HGP教科書体"/>
      <family val="1"/>
      <charset val="128"/>
    </font>
    <font>
      <sz val="11"/>
      <color theme="1" tint="0.499984740745262"/>
      <name val="HGP教科書体"/>
      <family val="1"/>
      <charset val="128"/>
    </font>
    <font>
      <sz val="16"/>
      <name val="HGP教科書体"/>
      <family val="1"/>
      <charset val="128"/>
    </font>
    <font>
      <sz val="16"/>
      <color theme="1"/>
      <name val="HGP教科書体"/>
      <family val="1"/>
      <charset val="128"/>
    </font>
    <font>
      <sz val="11"/>
      <color rgb="FF999999"/>
      <name val="HGP教科書体"/>
      <family val="1"/>
      <charset val="128"/>
    </font>
    <font>
      <sz val="14"/>
      <name val="HGP教科書体"/>
      <family val="1"/>
      <charset val="128"/>
    </font>
    <font>
      <sz val="17"/>
      <name val="HGP教科書体"/>
      <family val="1"/>
      <charset val="128"/>
    </font>
    <font>
      <b/>
      <sz val="25"/>
      <name val="HGP教科書体"/>
      <family val="1"/>
      <charset val="128"/>
    </font>
    <font>
      <sz val="11"/>
      <color theme="1" tint="0.249977111117893"/>
      <name val="HGP教科書体"/>
      <family val="1"/>
      <charset val="128"/>
    </font>
    <font>
      <sz val="16"/>
      <color theme="1" tint="0.499984740745262"/>
      <name val="HGP教科書体"/>
      <family val="1"/>
      <charset val="128"/>
    </font>
    <font>
      <b/>
      <sz val="14"/>
      <name val="HGP教科書体"/>
      <family val="1"/>
      <charset val="128"/>
    </font>
    <font>
      <sz val="23"/>
      <color rgb="FFFF0000"/>
      <name val="HGP教科書体"/>
      <family val="1"/>
      <charset val="128"/>
    </font>
    <font>
      <sz val="16"/>
      <color rgb="FF000000"/>
      <name val="HGP教科書体"/>
      <family val="1"/>
      <charset val="128"/>
    </font>
  </fonts>
  <fills count="3">
    <fill>
      <patternFill patternType="none"/>
    </fill>
    <fill>
      <patternFill patternType="gray125"/>
    </fill>
    <fill>
      <patternFill patternType="solid">
        <fgColor theme="0" tint="-4.9989318521683403E-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1" fillId="0" borderId="0" xfId="0" applyFont="1"/>
    <xf numFmtId="176" fontId="0" fillId="0" borderId="0" xfId="0" applyNumberFormat="1"/>
    <xf numFmtId="0" fontId="2" fillId="2" borderId="2" xfId="0" applyFont="1" applyFill="1" applyBorder="1"/>
    <xf numFmtId="0" fontId="0" fillId="2" borderId="2" xfId="0" applyFill="1" applyBorder="1"/>
    <xf numFmtId="0" fontId="1" fillId="2" borderId="2" xfId="0" applyFont="1" applyFill="1" applyBorder="1"/>
    <xf numFmtId="178" fontId="0" fillId="0" borderId="0" xfId="0" applyNumberFormat="1"/>
    <xf numFmtId="49" fontId="0" fillId="0" borderId="0" xfId="0" applyNumberFormat="1"/>
    <xf numFmtId="178" fontId="8" fillId="0" borderId="0" xfId="0" applyNumberFormat="1" applyFont="1" applyAlignment="1" applyProtection="1">
      <alignment horizontal="center" vertical="center" shrinkToFit="1"/>
      <protection locked="0"/>
    </xf>
    <xf numFmtId="0" fontId="7" fillId="0" borderId="0" xfId="0" applyFont="1"/>
    <xf numFmtId="0" fontId="9" fillId="0" borderId="0" xfId="0" applyFont="1" applyAlignment="1">
      <alignment horizontal="right" vertical="center"/>
    </xf>
    <xf numFmtId="31" fontId="10" fillId="0" borderId="0" xfId="0" applyNumberFormat="1" applyFont="1" applyAlignment="1">
      <alignment horizontal="center" vertical="center" shrinkToFit="1"/>
    </xf>
    <xf numFmtId="0" fontId="4" fillId="0" borderId="0" xfId="0" applyFont="1"/>
    <xf numFmtId="0" fontId="9" fillId="0" borderId="0" xfId="0" applyFont="1" applyAlignment="1">
      <alignment horizontal="left"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3" fillId="0" borderId="0" xfId="0" applyFont="1"/>
    <xf numFmtId="0" fontId="5" fillId="0" borderId="0" xfId="0" applyFont="1"/>
    <xf numFmtId="0" fontId="14" fillId="0" borderId="1" xfId="0" applyFont="1" applyBorder="1" applyAlignment="1">
      <alignment horizontal="center" vertical="center" wrapText="1"/>
    </xf>
    <xf numFmtId="176" fontId="7" fillId="0" borderId="2" xfId="0" applyNumberFormat="1" applyFont="1" applyBorder="1" applyAlignment="1">
      <alignment horizontal="center"/>
    </xf>
    <xf numFmtId="0" fontId="7" fillId="0" borderId="2" xfId="0" applyFont="1" applyBorder="1"/>
    <xf numFmtId="177" fontId="7" fillId="0" borderId="2" xfId="0" applyNumberFormat="1" applyFont="1" applyBorder="1" applyAlignment="1">
      <alignment horizontal="right"/>
    </xf>
    <xf numFmtId="176" fontId="6" fillId="0" borderId="1" xfId="0" applyNumberFormat="1" applyFont="1" applyBorder="1" applyAlignment="1" applyProtection="1">
      <alignment horizontal="center" vertical="center"/>
      <protection locked="0"/>
    </xf>
    <xf numFmtId="0" fontId="6" fillId="0" borderId="1" xfId="0" applyFont="1" applyBorder="1" applyAlignment="1" applyProtection="1">
      <alignment horizontal="center" vertical="center" shrinkToFit="1"/>
      <protection locked="0"/>
    </xf>
    <xf numFmtId="0" fontId="6" fillId="0" borderId="1" xfId="0" applyFont="1" applyBorder="1" applyAlignment="1" applyProtection="1">
      <alignment horizontal="center" vertical="center"/>
      <protection locked="0"/>
    </xf>
    <xf numFmtId="0" fontId="6" fillId="0" borderId="1" xfId="0" applyFont="1" applyBorder="1" applyAlignment="1" applyProtection="1">
      <alignment horizontal="left" vertical="center" shrinkToFit="1"/>
      <protection locked="0"/>
    </xf>
    <xf numFmtId="0" fontId="6" fillId="0" borderId="1" xfId="0" applyFont="1" applyBorder="1" applyAlignment="1" applyProtection="1">
      <alignment horizontal="left" vertical="center"/>
      <protection locked="0"/>
    </xf>
    <xf numFmtId="176" fontId="7" fillId="0" borderId="2" xfId="0" applyNumberFormat="1" applyFont="1" applyBorder="1" applyAlignment="1" applyProtection="1">
      <alignment horizontal="center"/>
      <protection locked="0"/>
    </xf>
    <xf numFmtId="0" fontId="7" fillId="0" borderId="2" xfId="0" applyFont="1" applyBorder="1" applyProtection="1">
      <protection locked="0"/>
    </xf>
    <xf numFmtId="179" fontId="6" fillId="0" borderId="1" xfId="0" applyNumberFormat="1" applyFont="1" applyBorder="1" applyAlignment="1" applyProtection="1">
      <alignment horizontal="right" vertical="center"/>
      <protection locked="0"/>
    </xf>
    <xf numFmtId="179" fontId="7" fillId="0" borderId="2" xfId="0" applyNumberFormat="1" applyFont="1" applyBorder="1" applyAlignment="1" applyProtection="1">
      <alignment horizontal="right"/>
      <protection locked="0"/>
    </xf>
    <xf numFmtId="0" fontId="15" fillId="0" borderId="0" xfId="0" applyFont="1" applyAlignment="1" applyProtection="1">
      <alignment horizontal="right" vertical="center"/>
      <protection locked="0"/>
    </xf>
    <xf numFmtId="0" fontId="16" fillId="0" borderId="0" xfId="0" applyFont="1" applyAlignment="1">
      <alignment horizontal="left" vertical="center" shrinkToFit="1"/>
    </xf>
    <xf numFmtId="0" fontId="0" fillId="0" borderId="0" xfId="0" applyAlignment="1">
      <alignment horizontal="left" vertical="center" shrinkToFit="1"/>
    </xf>
    <xf numFmtId="0" fontId="11" fillId="0" borderId="0" xfId="0" applyFont="1" applyAlignment="1">
      <alignment horizontal="center" vertical="center"/>
    </xf>
    <xf numFmtId="22" fontId="0" fillId="0" borderId="0" xfId="0" applyNumberFormat="1"/>
  </cellXfs>
  <cellStyles count="1">
    <cellStyle name="標準" xfId="0" builtinId="0"/>
  </cellStyles>
  <dxfs count="1">
    <dxf>
      <font>
        <b/>
        <i val="0"/>
        <color rgb="FF0000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50"/>
  <sheetViews>
    <sheetView workbookViewId="0">
      <selection activeCell="A3" sqref="A3:B3"/>
    </sheetView>
  </sheetViews>
  <sheetFormatPr defaultRowHeight="13" x14ac:dyDescent="0.2"/>
  <cols>
    <col min="1" max="1" width="13.08984375" style="12" customWidth="1"/>
    <col min="2" max="2" width="36.453125" style="12" customWidth="1"/>
    <col min="3" max="4" width="18.1796875" style="12" customWidth="1"/>
    <col min="5" max="16384" width="8.7265625" style="12"/>
  </cols>
  <sheetData>
    <row r="1" spans="1:5" ht="31.15" customHeight="1" x14ac:dyDescent="0.3">
      <c r="A1" s="9"/>
      <c r="B1" s="8" t="s">
        <v>39</v>
      </c>
      <c r="C1" s="10" t="s">
        <v>0</v>
      </c>
      <c r="D1" s="11">
        <f ca="1">TODAY()</f>
        <v>46311</v>
      </c>
      <c r="E1" s="9"/>
    </row>
    <row r="2" spans="1:5" ht="39.65" customHeight="1" x14ac:dyDescent="0.3">
      <c r="A2" s="34" t="s">
        <v>1</v>
      </c>
      <c r="B2" s="34"/>
      <c r="C2" s="34"/>
      <c r="D2" s="34"/>
      <c r="E2" s="9"/>
    </row>
    <row r="3" spans="1:5" ht="31.15" customHeight="1" x14ac:dyDescent="0.3">
      <c r="A3" s="32" t="s">
        <v>42</v>
      </c>
      <c r="B3" s="33"/>
      <c r="C3" s="31" t="s">
        <v>41</v>
      </c>
      <c r="D3" s="31"/>
      <c r="E3" s="9"/>
    </row>
    <row r="4" spans="1:5" ht="19.75" customHeight="1" x14ac:dyDescent="0.3">
      <c r="B4" s="13"/>
      <c r="C4" s="31"/>
      <c r="D4" s="31"/>
      <c r="E4" s="9"/>
    </row>
    <row r="5" spans="1:5" s="17" customFormat="1" ht="36" customHeight="1" x14ac:dyDescent="0.3">
      <c r="A5" s="14" t="s">
        <v>29</v>
      </c>
      <c r="B5" s="15" t="s">
        <v>25</v>
      </c>
      <c r="C5" s="15" t="s">
        <v>27</v>
      </c>
      <c r="D5" s="14" t="s">
        <v>26</v>
      </c>
      <c r="E5" s="16"/>
    </row>
    <row r="6" spans="1:5" ht="48.15" customHeight="1" x14ac:dyDescent="0.3">
      <c r="A6" s="18" t="s">
        <v>40</v>
      </c>
      <c r="B6" s="18" t="s">
        <v>2</v>
      </c>
      <c r="C6" s="18" t="s">
        <v>4</v>
      </c>
      <c r="D6" s="18" t="s">
        <v>3</v>
      </c>
      <c r="E6" s="9"/>
    </row>
    <row r="7" spans="1:5" ht="25" customHeight="1" x14ac:dyDescent="0.3">
      <c r="A7" s="22"/>
      <c r="B7" s="23"/>
      <c r="C7" s="29"/>
      <c r="D7" s="24"/>
      <c r="E7" s="9"/>
    </row>
    <row r="8" spans="1:5" ht="25" customHeight="1" x14ac:dyDescent="0.3">
      <c r="A8" s="22"/>
      <c r="B8" s="25"/>
      <c r="C8" s="29"/>
      <c r="D8" s="26"/>
      <c r="E8" s="9"/>
    </row>
    <row r="9" spans="1:5" ht="25" customHeight="1" x14ac:dyDescent="0.3">
      <c r="A9" s="22"/>
      <c r="B9" s="25"/>
      <c r="C9" s="29"/>
      <c r="D9" s="26"/>
      <c r="E9" s="9"/>
    </row>
    <row r="10" spans="1:5" ht="25" customHeight="1" x14ac:dyDescent="0.3">
      <c r="A10" s="22"/>
      <c r="B10" s="25"/>
      <c r="C10" s="29"/>
      <c r="D10" s="26"/>
      <c r="E10" s="9"/>
    </row>
    <row r="11" spans="1:5" ht="25" customHeight="1" x14ac:dyDescent="0.3">
      <c r="A11" s="22"/>
      <c r="B11" s="25"/>
      <c r="C11" s="29"/>
      <c r="D11" s="26"/>
      <c r="E11" s="9"/>
    </row>
    <row r="12" spans="1:5" ht="25" customHeight="1" x14ac:dyDescent="0.3">
      <c r="A12" s="22"/>
      <c r="B12" s="25"/>
      <c r="C12" s="29"/>
      <c r="D12" s="26"/>
      <c r="E12" s="9"/>
    </row>
    <row r="13" spans="1:5" ht="25" customHeight="1" x14ac:dyDescent="0.3">
      <c r="A13" s="22"/>
      <c r="B13" s="25"/>
      <c r="C13" s="29"/>
      <c r="D13" s="26"/>
      <c r="E13" s="9"/>
    </row>
    <row r="14" spans="1:5" ht="25" customHeight="1" x14ac:dyDescent="0.3">
      <c r="A14" s="22"/>
      <c r="B14" s="25"/>
      <c r="C14" s="29"/>
      <c r="D14" s="26"/>
      <c r="E14" s="9"/>
    </row>
    <row r="15" spans="1:5" ht="25" customHeight="1" x14ac:dyDescent="0.3">
      <c r="A15" s="22"/>
      <c r="B15" s="25"/>
      <c r="C15" s="29"/>
      <c r="D15" s="26"/>
      <c r="E15" s="9"/>
    </row>
    <row r="16" spans="1:5" ht="25" customHeight="1" x14ac:dyDescent="0.3">
      <c r="A16" s="22"/>
      <c r="B16" s="25"/>
      <c r="C16" s="29"/>
      <c r="D16" s="26"/>
      <c r="E16" s="9"/>
    </row>
    <row r="17" spans="1:5" ht="25" customHeight="1" x14ac:dyDescent="0.3">
      <c r="A17" s="22"/>
      <c r="B17" s="25"/>
      <c r="C17" s="29"/>
      <c r="D17" s="26"/>
      <c r="E17" s="9"/>
    </row>
    <row r="18" spans="1:5" ht="25" customHeight="1" x14ac:dyDescent="0.3">
      <c r="A18" s="22"/>
      <c r="B18" s="25"/>
      <c r="C18" s="29"/>
      <c r="D18" s="26"/>
      <c r="E18" s="9"/>
    </row>
    <row r="19" spans="1:5" ht="25" customHeight="1" x14ac:dyDescent="0.3">
      <c r="A19" s="22"/>
      <c r="B19" s="25"/>
      <c r="C19" s="29"/>
      <c r="D19" s="26"/>
      <c r="E19" s="9"/>
    </row>
    <row r="20" spans="1:5" ht="25" customHeight="1" x14ac:dyDescent="0.3">
      <c r="A20" s="27"/>
      <c r="B20" s="28"/>
      <c r="C20" s="30"/>
      <c r="D20" s="28"/>
      <c r="E20" s="9"/>
    </row>
    <row r="21" spans="1:5" ht="25" customHeight="1" x14ac:dyDescent="0.3">
      <c r="A21" s="27"/>
      <c r="B21" s="28"/>
      <c r="C21" s="30"/>
      <c r="D21" s="28"/>
      <c r="E21" s="9"/>
    </row>
    <row r="22" spans="1:5" ht="25" customHeight="1" x14ac:dyDescent="0.3">
      <c r="A22" s="27"/>
      <c r="B22" s="28"/>
      <c r="C22" s="30"/>
      <c r="D22" s="28"/>
      <c r="E22" s="9"/>
    </row>
    <row r="23" spans="1:5" ht="25" customHeight="1" x14ac:dyDescent="0.3">
      <c r="A23" s="19"/>
      <c r="B23" s="20"/>
      <c r="C23" s="20"/>
      <c r="D23" s="21"/>
      <c r="E23" s="9"/>
    </row>
    <row r="24" spans="1:5" ht="25" customHeight="1" x14ac:dyDescent="0.3">
      <c r="A24" s="19"/>
      <c r="B24" s="20"/>
      <c r="C24" s="20"/>
      <c r="D24" s="21"/>
      <c r="E24" s="9"/>
    </row>
    <row r="25" spans="1:5" ht="25" customHeight="1" x14ac:dyDescent="0.3">
      <c r="A25" s="19"/>
      <c r="B25" s="20"/>
      <c r="C25" s="20"/>
      <c r="D25" s="21"/>
      <c r="E25" s="9"/>
    </row>
    <row r="26" spans="1:5" ht="25" customHeight="1" x14ac:dyDescent="0.3">
      <c r="A26" s="19"/>
      <c r="B26" s="20"/>
      <c r="C26" s="20"/>
      <c r="D26" s="21"/>
    </row>
    <row r="27" spans="1:5" ht="25" customHeight="1" x14ac:dyDescent="0.3">
      <c r="A27" s="19"/>
      <c r="B27" s="20"/>
      <c r="C27" s="20"/>
      <c r="D27" s="21"/>
    </row>
    <row r="28" spans="1:5" ht="25" customHeight="1" x14ac:dyDescent="0.3">
      <c r="A28" s="19"/>
      <c r="B28" s="20"/>
      <c r="C28" s="20"/>
      <c r="D28" s="21"/>
    </row>
    <row r="29" spans="1:5" ht="25" customHeight="1" x14ac:dyDescent="0.3">
      <c r="A29" s="19"/>
      <c r="B29" s="20"/>
      <c r="C29" s="20"/>
      <c r="D29" s="21"/>
    </row>
    <row r="30" spans="1:5" ht="25" customHeight="1" x14ac:dyDescent="0.3">
      <c r="A30" s="19"/>
      <c r="B30" s="20"/>
      <c r="C30" s="20"/>
      <c r="D30" s="21"/>
    </row>
    <row r="31" spans="1:5" ht="25" customHeight="1" x14ac:dyDescent="0.2"/>
    <row r="32" spans="1:5" ht="25" customHeight="1" x14ac:dyDescent="0.2"/>
    <row r="33" ht="25" customHeight="1" x14ac:dyDescent="0.2"/>
    <row r="34" ht="25" customHeight="1" x14ac:dyDescent="0.2"/>
    <row r="35" ht="25" customHeight="1" x14ac:dyDescent="0.2"/>
    <row r="36" ht="25" customHeight="1" x14ac:dyDescent="0.2"/>
    <row r="37" ht="25" customHeight="1" x14ac:dyDescent="0.2"/>
    <row r="38" ht="25" customHeight="1" x14ac:dyDescent="0.2"/>
    <row r="39" ht="25" customHeight="1" x14ac:dyDescent="0.2"/>
    <row r="40" ht="25" customHeight="1" x14ac:dyDescent="0.2"/>
    <row r="41" ht="25" customHeight="1" x14ac:dyDescent="0.2"/>
    <row r="42" ht="25" customHeight="1" x14ac:dyDescent="0.2"/>
    <row r="43" ht="25" customHeight="1" x14ac:dyDescent="0.2"/>
    <row r="44" ht="25" customHeight="1" x14ac:dyDescent="0.2"/>
    <row r="45" ht="25" customHeight="1" x14ac:dyDescent="0.2"/>
    <row r="46" ht="25" customHeight="1" x14ac:dyDescent="0.2"/>
    <row r="47" ht="25" customHeight="1" x14ac:dyDescent="0.2"/>
    <row r="48" ht="25" customHeight="1" x14ac:dyDescent="0.2"/>
    <row r="49" ht="25" customHeight="1" x14ac:dyDescent="0.2"/>
    <row r="50" ht="25" customHeight="1" x14ac:dyDescent="0.2"/>
  </sheetData>
  <mergeCells count="3">
    <mergeCell ref="C3:D4"/>
    <mergeCell ref="A3:B3"/>
    <mergeCell ref="A2:D2"/>
  </mergeCells>
  <phoneticPr fontId="3"/>
  <conditionalFormatting sqref="B1">
    <cfRule type="expression" dxfId="0" priority="1" stopIfTrue="1">
      <formula>ISNUMBER($B$1)</formula>
    </cfRule>
  </conditionalFormatting>
  <pageMargins left="0.39370078740157483" right="0.39370078740157483" top="0.39370078740157483" bottom="0.39370078740157483" header="0.5" footer="0.5"/>
  <pageSetup paperSize="9" scale="94" orientation="portrait" r:id="rId1"/>
  <extLst>
    <ext xmlns:x14="http://schemas.microsoft.com/office/spreadsheetml/2009/9/main" uri="{CCE6A557-97BC-4b89-ADB6-D9C93CAAB3DF}">
      <x14:dataValidations xmlns:xm="http://schemas.microsoft.com/office/excel/2006/main" count="7">
        <x14:dataValidation type="list" allowBlank="1" showInputMessage="1" xr:uid="{62D317FC-23B3-4CB6-B9C5-8928CBC6AB6F}">
          <x14:formula1>
            <xm:f>日付リスト!$A$2:$A$46</xm:f>
          </x14:formula1>
          <xm:sqref>A24:A30</xm:sqref>
        </x14:dataValidation>
        <x14:dataValidation type="list" allowBlank="1" showInputMessage="1" xr:uid="{D67EA904-5FF8-4687-8A2C-124F5F44FD48}">
          <x14:formula1>
            <xm:f>OFFSET(日付リスト!$A$2,0,0,COUNT(日付リスト!$A$2:$A$46),1)</xm:f>
          </x14:formula1>
          <xm:sqref>A7:A22</xm:sqref>
        </x14:dataValidation>
        <x14:dataValidation type="list" allowBlank="1" showInputMessage="1" xr:uid="{CE5A62FE-65B6-4044-A9B9-83750C803BE4}">
          <x14:formula1>
            <xm:f>備考一覧!$A$2:$A$100</xm:f>
          </x14:formula1>
          <xm:sqref>C23:C30</xm:sqref>
        </x14:dataValidation>
        <x14:dataValidation type="list" allowBlank="1" showInputMessage="1" xr:uid="{BACA4444-D070-4314-A5F7-A4BAD0C9FE20}">
          <x14:formula1>
            <xm:f>備考一覧!$A$2:$A$12</xm:f>
          </x14:formula1>
          <xm:sqref>D7:D22</xm:sqref>
        </x14:dataValidation>
        <x14:dataValidation type="list" allowBlank="1" showInputMessage="1" xr:uid="{CB6FF735-E05C-4C86-8E10-934425A236B5}">
          <x14:formula1>
            <xm:f>商品名一覧!$A$2:$A$98</xm:f>
          </x14:formula1>
          <xm:sqref>B23:B30</xm:sqref>
        </x14:dataValidation>
        <x14:dataValidation type="list" allowBlank="1" showInputMessage="1" xr:uid="{00E0BD47-2B48-451F-937F-9D6C4342CFB4}">
          <x14:formula1>
            <xm:f>商品名一覧!$A$2:$A$53</xm:f>
          </x14:formula1>
          <xm:sqref>B7:B22</xm:sqref>
        </x14:dataValidation>
        <x14:dataValidation type="list" allowBlank="1" showInputMessage="1" xr:uid="{528F5B7E-8B6B-4E74-8BAD-677D27ED0033}">
          <x14:formula1>
            <xm:f>日付リスト!$C$2:$C$22</xm:f>
          </x14:formula1>
          <xm:sqref>B1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98"/>
  <sheetViews>
    <sheetView tabSelected="1" topLeftCell="A29" workbookViewId="0">
      <selection activeCell="B10" sqref="B10"/>
    </sheetView>
  </sheetViews>
  <sheetFormatPr defaultRowHeight="13" x14ac:dyDescent="0.2"/>
  <cols>
    <col min="1" max="2" width="40.6328125" customWidth="1"/>
    <col min="3" max="3" width="20" customWidth="1"/>
  </cols>
  <sheetData>
    <row r="1" spans="1:2" x14ac:dyDescent="0.2">
      <c r="A1" s="1" t="s">
        <v>37</v>
      </c>
      <c r="B1" t="s">
        <v>36</v>
      </c>
    </row>
    <row r="2" spans="1:2" x14ac:dyDescent="0.2">
      <c r="A2" s="5" t="s">
        <v>5</v>
      </c>
    </row>
    <row r="3" spans="1:2" x14ac:dyDescent="0.2">
      <c r="A3" s="3" t="s">
        <v>6</v>
      </c>
    </row>
    <row r="4" spans="1:2" x14ac:dyDescent="0.2">
      <c r="A4" s="3" t="s">
        <v>43</v>
      </c>
    </row>
    <row r="5" spans="1:2" x14ac:dyDescent="0.2">
      <c r="A5" s="3" t="s">
        <v>44</v>
      </c>
    </row>
    <row r="6" spans="1:2" x14ac:dyDescent="0.2">
      <c r="A6" s="3" t="s">
        <v>45</v>
      </c>
    </row>
    <row r="7" spans="1:2" x14ac:dyDescent="0.2">
      <c r="A7" s="3" t="s">
        <v>7</v>
      </c>
    </row>
    <row r="8" spans="1:2" x14ac:dyDescent="0.2">
      <c r="A8" s="3" t="s">
        <v>46</v>
      </c>
    </row>
    <row r="9" spans="1:2" x14ac:dyDescent="0.2">
      <c r="A9" s="3" t="s">
        <v>47</v>
      </c>
    </row>
    <row r="10" spans="1:2" x14ac:dyDescent="0.2">
      <c r="A10" s="3" t="s">
        <v>48</v>
      </c>
    </row>
    <row r="11" spans="1:2" x14ac:dyDescent="0.2">
      <c r="A11" s="3" t="s">
        <v>8</v>
      </c>
    </row>
    <row r="12" spans="1:2" x14ac:dyDescent="0.2">
      <c r="A12" s="3" t="s">
        <v>9</v>
      </c>
    </row>
    <row r="13" spans="1:2" x14ac:dyDescent="0.2">
      <c r="A13" s="3" t="s">
        <v>10</v>
      </c>
    </row>
    <row r="14" spans="1:2" x14ac:dyDescent="0.2">
      <c r="A14" s="3" t="s">
        <v>49</v>
      </c>
    </row>
    <row r="15" spans="1:2" x14ac:dyDescent="0.2">
      <c r="A15" s="3" t="s">
        <v>11</v>
      </c>
    </row>
    <row r="16" spans="1:2" x14ac:dyDescent="0.2">
      <c r="A16" s="3" t="s">
        <v>12</v>
      </c>
    </row>
    <row r="17" spans="1:1" x14ac:dyDescent="0.2">
      <c r="A17" s="3" t="s">
        <v>13</v>
      </c>
    </row>
    <row r="18" spans="1:1" x14ac:dyDescent="0.2">
      <c r="A18" s="5" t="s">
        <v>14</v>
      </c>
    </row>
    <row r="19" spans="1:1" x14ac:dyDescent="0.2">
      <c r="A19" s="3" t="s">
        <v>50</v>
      </c>
    </row>
    <row r="20" spans="1:1" x14ac:dyDescent="0.2">
      <c r="A20" s="3" t="s">
        <v>51</v>
      </c>
    </row>
    <row r="21" spans="1:1" x14ac:dyDescent="0.2">
      <c r="A21" s="3" t="s">
        <v>52</v>
      </c>
    </row>
    <row r="22" spans="1:1" x14ac:dyDescent="0.2">
      <c r="A22" s="3" t="s">
        <v>53</v>
      </c>
    </row>
    <row r="23" spans="1:1" x14ac:dyDescent="0.2">
      <c r="A23" s="3" t="s">
        <v>15</v>
      </c>
    </row>
    <row r="24" spans="1:1" x14ac:dyDescent="0.2">
      <c r="A24" s="3" t="s">
        <v>54</v>
      </c>
    </row>
    <row r="25" spans="1:1" x14ac:dyDescent="0.2">
      <c r="A25" s="3" t="s">
        <v>16</v>
      </c>
    </row>
    <row r="26" spans="1:1" x14ac:dyDescent="0.2">
      <c r="A26" s="3" t="s">
        <v>55</v>
      </c>
    </row>
    <row r="27" spans="1:1" x14ac:dyDescent="0.2">
      <c r="A27" s="3" t="s">
        <v>17</v>
      </c>
    </row>
    <row r="28" spans="1:1" x14ac:dyDescent="0.2">
      <c r="A28" s="3" t="s">
        <v>56</v>
      </c>
    </row>
    <row r="29" spans="1:1" x14ac:dyDescent="0.2">
      <c r="A29" s="3" t="s">
        <v>18</v>
      </c>
    </row>
    <row r="30" spans="1:1" x14ac:dyDescent="0.2">
      <c r="A30" s="3" t="s">
        <v>57</v>
      </c>
    </row>
    <row r="31" spans="1:1" x14ac:dyDescent="0.2">
      <c r="A31" s="3" t="s">
        <v>19</v>
      </c>
    </row>
    <row r="32" spans="1:1" x14ac:dyDescent="0.2">
      <c r="A32" s="3" t="s">
        <v>20</v>
      </c>
    </row>
    <row r="33" spans="1:1" x14ac:dyDescent="0.2">
      <c r="A33" s="3" t="s">
        <v>58</v>
      </c>
    </row>
    <row r="34" spans="1:1" x14ac:dyDescent="0.2">
      <c r="A34" s="3" t="s">
        <v>59</v>
      </c>
    </row>
    <row r="35" spans="1:1" x14ac:dyDescent="0.2">
      <c r="A35" s="3" t="s">
        <v>60</v>
      </c>
    </row>
    <row r="36" spans="1:1" x14ac:dyDescent="0.2">
      <c r="A36" s="3" t="s">
        <v>21</v>
      </c>
    </row>
    <row r="37" spans="1:1" x14ac:dyDescent="0.2">
      <c r="A37" s="3" t="s">
        <v>22</v>
      </c>
    </row>
    <row r="38" spans="1:1" x14ac:dyDescent="0.2">
      <c r="A38" s="5" t="s">
        <v>61</v>
      </c>
    </row>
    <row r="39" spans="1:1" x14ac:dyDescent="0.2">
      <c r="A39" s="3" t="s">
        <v>62</v>
      </c>
    </row>
    <row r="40" spans="1:1" x14ac:dyDescent="0.2">
      <c r="A40" s="3" t="s">
        <v>63</v>
      </c>
    </row>
    <row r="41" spans="1:1" x14ac:dyDescent="0.2">
      <c r="A41" s="3" t="s">
        <v>64</v>
      </c>
    </row>
    <row r="42" spans="1:1" x14ac:dyDescent="0.2">
      <c r="A42" s="3" t="s">
        <v>65</v>
      </c>
    </row>
    <row r="43" spans="1:1" x14ac:dyDescent="0.2">
      <c r="A43" s="3" t="s">
        <v>66</v>
      </c>
    </row>
    <row r="44" spans="1:1" x14ac:dyDescent="0.2">
      <c r="A44" s="3" t="s">
        <v>67</v>
      </c>
    </row>
    <row r="45" spans="1:1" x14ac:dyDescent="0.2">
      <c r="A45" s="5" t="s">
        <v>68</v>
      </c>
    </row>
    <row r="46" spans="1:1" x14ac:dyDescent="0.2">
      <c r="A46" s="3" t="s">
        <v>69</v>
      </c>
    </row>
    <row r="47" spans="1:1" x14ac:dyDescent="0.2">
      <c r="A47" s="3" t="s">
        <v>70</v>
      </c>
    </row>
    <row r="48" spans="1:1" x14ac:dyDescent="0.2">
      <c r="A48" s="3" t="s">
        <v>23</v>
      </c>
    </row>
    <row r="49" spans="1:1" x14ac:dyDescent="0.2">
      <c r="A49" s="3" t="s">
        <v>71</v>
      </c>
    </row>
    <row r="50" spans="1:1" x14ac:dyDescent="0.2">
      <c r="A50" s="3" t="s">
        <v>72</v>
      </c>
    </row>
    <row r="51" spans="1:1" x14ac:dyDescent="0.2">
      <c r="A51" s="4" t="s">
        <v>24</v>
      </c>
    </row>
    <row r="52" spans="1:1" x14ac:dyDescent="0.2">
      <c r="A52" s="4" t="s">
        <v>73</v>
      </c>
    </row>
    <row r="53" spans="1:1" x14ac:dyDescent="0.2">
      <c r="A53" s="4" t="s">
        <v>74</v>
      </c>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sheetData>
  <phoneticPr fontId="3"/>
  <pageMargins left="0.75" right="0.75" top="1" bottom="1" header="0.5" footer="0.5"/>
  <pageSetup paperSize="9" orientation="portrait"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E415E-C943-43E4-AE41-011A0B49F18B}">
  <dimension ref="A1:B100"/>
  <sheetViews>
    <sheetView workbookViewId="0">
      <selection activeCell="D7" sqref="D7"/>
    </sheetView>
  </sheetViews>
  <sheetFormatPr defaultRowHeight="13" x14ac:dyDescent="0.2"/>
  <cols>
    <col min="1" max="2" width="40.6328125" customWidth="1"/>
  </cols>
  <sheetData>
    <row r="1" spans="1:2" x14ac:dyDescent="0.2">
      <c r="A1" s="1" t="s">
        <v>28</v>
      </c>
      <c r="B1" t="s">
        <v>36</v>
      </c>
    </row>
    <row r="2" spans="1:2" x14ac:dyDescent="0.2">
      <c r="A2" s="3" t="s">
        <v>75</v>
      </c>
      <c r="B2" t="s">
        <v>76</v>
      </c>
    </row>
    <row r="3" spans="1:2" x14ac:dyDescent="0.2">
      <c r="A3" s="3" t="s">
        <v>77</v>
      </c>
      <c r="B3" t="s">
        <v>78</v>
      </c>
    </row>
    <row r="4" spans="1:2" x14ac:dyDescent="0.2">
      <c r="A4" s="3" t="s">
        <v>79</v>
      </c>
      <c r="B4" t="s">
        <v>80</v>
      </c>
    </row>
    <row r="5" spans="1:2" x14ac:dyDescent="0.2">
      <c r="A5" s="3" t="s">
        <v>81</v>
      </c>
    </row>
    <row r="6" spans="1:2" x14ac:dyDescent="0.2">
      <c r="A6" s="3" t="s">
        <v>82</v>
      </c>
      <c r="B6" t="s">
        <v>83</v>
      </c>
    </row>
    <row r="7" spans="1:2" x14ac:dyDescent="0.2">
      <c r="A7" s="3" t="s">
        <v>84</v>
      </c>
    </row>
    <row r="8" spans="1:2" x14ac:dyDescent="0.2">
      <c r="A8" s="3" t="s">
        <v>85</v>
      </c>
    </row>
    <row r="9" spans="1:2" x14ac:dyDescent="0.2">
      <c r="A9" s="3" t="s">
        <v>86</v>
      </c>
    </row>
    <row r="10" spans="1:2" x14ac:dyDescent="0.2">
      <c r="A10" s="3" t="s">
        <v>87</v>
      </c>
      <c r="B10" t="s">
        <v>88</v>
      </c>
    </row>
    <row r="11" spans="1:2" x14ac:dyDescent="0.2">
      <c r="A11" s="3" t="s">
        <v>89</v>
      </c>
    </row>
    <row r="12" spans="1:2" x14ac:dyDescent="0.2">
      <c r="A12" s="3"/>
    </row>
    <row r="13" spans="1:2" x14ac:dyDescent="0.2">
      <c r="A13" s="3"/>
    </row>
    <row r="14" spans="1:2" x14ac:dyDescent="0.2">
      <c r="A14" s="3"/>
    </row>
    <row r="15" spans="1:2" x14ac:dyDescent="0.2">
      <c r="A15" s="3"/>
    </row>
    <row r="16" spans="1:2" x14ac:dyDescent="0.2">
      <c r="A16" s="3"/>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row r="37" spans="1:1" x14ac:dyDescent="0.2">
      <c r="A37" s="4"/>
    </row>
    <row r="38" spans="1:1" x14ac:dyDescent="0.2">
      <c r="A38" s="4"/>
    </row>
    <row r="39" spans="1:1" x14ac:dyDescent="0.2">
      <c r="A39" s="4"/>
    </row>
    <row r="40" spans="1:1" x14ac:dyDescent="0.2">
      <c r="A40" s="4"/>
    </row>
    <row r="41" spans="1:1" x14ac:dyDescent="0.2">
      <c r="A41" s="4"/>
    </row>
    <row r="42" spans="1:1" x14ac:dyDescent="0.2">
      <c r="A42" s="4"/>
    </row>
    <row r="43" spans="1:1" x14ac:dyDescent="0.2">
      <c r="A43" s="4"/>
    </row>
    <row r="44" spans="1:1" x14ac:dyDescent="0.2">
      <c r="A44" s="4"/>
    </row>
    <row r="45" spans="1:1" x14ac:dyDescent="0.2">
      <c r="A45" s="4"/>
    </row>
    <row r="46" spans="1:1" x14ac:dyDescent="0.2">
      <c r="A46" s="4"/>
    </row>
    <row r="47" spans="1:1" x14ac:dyDescent="0.2">
      <c r="A47" s="4"/>
    </row>
    <row r="48" spans="1:1" x14ac:dyDescent="0.2">
      <c r="A48" s="4"/>
    </row>
    <row r="49" spans="1:1" x14ac:dyDescent="0.2">
      <c r="A49" s="4"/>
    </row>
    <row r="50" spans="1:1" x14ac:dyDescent="0.2">
      <c r="A50" s="4"/>
    </row>
    <row r="51" spans="1:1" x14ac:dyDescent="0.2">
      <c r="A51" s="4"/>
    </row>
    <row r="52" spans="1:1" x14ac:dyDescent="0.2">
      <c r="A52" s="4"/>
    </row>
    <row r="53" spans="1:1" x14ac:dyDescent="0.2">
      <c r="A53" s="4"/>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row r="99" spans="1:1" x14ac:dyDescent="0.2">
      <c r="A99" s="4"/>
    </row>
    <row r="100" spans="1:1" x14ac:dyDescent="0.2">
      <c r="A100" s="4"/>
    </row>
  </sheetData>
  <phoneticPr fontId="3"/>
  <pageMargins left="0.7" right="0.7" top="0.75" bottom="0.75" header="0.3" footer="0.3"/>
  <pageSetup paperSize="9" orientation="portrait" horizontalDpi="4294967294"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46304-64E5-4F5F-B5FE-0FABAA79331A}">
  <dimension ref="A1:A13"/>
  <sheetViews>
    <sheetView workbookViewId="0">
      <selection activeCell="A6" sqref="A6"/>
    </sheetView>
  </sheetViews>
  <sheetFormatPr defaultRowHeight="13" x14ac:dyDescent="0.2"/>
  <sheetData>
    <row r="1" spans="1:1" x14ac:dyDescent="0.2">
      <c r="A1" t="s">
        <v>30</v>
      </c>
    </row>
    <row r="2" spans="1:1" x14ac:dyDescent="0.2">
      <c r="A2" t="s">
        <v>90</v>
      </c>
    </row>
    <row r="3" spans="1:1" x14ac:dyDescent="0.2">
      <c r="A3" t="s">
        <v>31</v>
      </c>
    </row>
    <row r="5" spans="1:1" x14ac:dyDescent="0.2">
      <c r="A5" t="s">
        <v>91</v>
      </c>
    </row>
    <row r="6" spans="1:1" x14ac:dyDescent="0.2">
      <c r="A6" t="s">
        <v>92</v>
      </c>
    </row>
    <row r="8" spans="1:1" x14ac:dyDescent="0.2">
      <c r="A8" t="s">
        <v>32</v>
      </c>
    </row>
    <row r="9" spans="1:1" x14ac:dyDescent="0.2">
      <c r="A9" t="s">
        <v>33</v>
      </c>
    </row>
    <row r="11" spans="1:1" x14ac:dyDescent="0.2">
      <c r="A11" t="s">
        <v>34</v>
      </c>
    </row>
    <row r="13" spans="1:1" x14ac:dyDescent="0.2">
      <c r="A13" t="s">
        <v>35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46"/>
  <sheetViews>
    <sheetView workbookViewId="0"/>
  </sheetViews>
  <sheetFormatPr defaultRowHeight="13" x14ac:dyDescent="0.2"/>
  <cols>
    <col min="3" max="3" width="13.54296875" bestFit="1" customWidth="1"/>
  </cols>
  <sheetData>
    <row r="2" spans="1:3" x14ac:dyDescent="0.2">
      <c r="A2" s="2">
        <f ca="1">IF(ISNUMBER(注文書!$B$1),IF(MONTH(注文書!$B$1+0)=MONTH(注文書!$B$1),注文書!$B$1+0,""),TODAY()+0)</f>
        <v>46311</v>
      </c>
      <c r="C2" s="7" t="s">
        <v>38</v>
      </c>
    </row>
    <row r="3" spans="1:3" x14ac:dyDescent="0.2">
      <c r="A3" s="2">
        <f ca="1">IF(ISNUMBER(注文書!$B$1),IF(MONTH(注文書!$B$1+1)=MONTH(注文書!$B$1),注文書!$B$1+1,""),TODAY()+1)</f>
        <v>46312</v>
      </c>
      <c r="C3" s="6">
        <v>46173.625</v>
      </c>
    </row>
    <row r="4" spans="1:3" x14ac:dyDescent="0.2">
      <c r="A4" s="2">
        <f ca="1">IF(ISNUMBER(注文書!$B$1),IF(MONTH(注文書!$B$1+2)=MONTH(注文書!$B$1),注文書!$B$1+2,""),TODAY()+2)</f>
        <v>46313</v>
      </c>
      <c r="C4" s="6">
        <v>46203.625</v>
      </c>
    </row>
    <row r="5" spans="1:3" x14ac:dyDescent="0.2">
      <c r="A5" s="2">
        <f ca="1">IF(ISNUMBER(注文書!$B$1),IF(MONTH(注文書!$B$1+3)=MONTH(注文書!$B$1),注文書!$B$1+3,""),TODAY()+3)</f>
        <v>46314</v>
      </c>
      <c r="C5" s="6">
        <v>46234.625</v>
      </c>
    </row>
    <row r="6" spans="1:3" x14ac:dyDescent="0.2">
      <c r="A6" s="2">
        <f ca="1">IF(ISNUMBER(注文書!$B$1),IF(MONTH(注文書!$B$1+4)=MONTH(注文書!$B$1),注文書!$B$1+4,""),TODAY()+4)</f>
        <v>46315</v>
      </c>
      <c r="C6" s="6">
        <v>46265.625</v>
      </c>
    </row>
    <row r="7" spans="1:3" x14ac:dyDescent="0.2">
      <c r="A7" s="2">
        <f ca="1">IF(ISNUMBER(注文書!$B$1),IF(MONTH(注文書!$B$1+5)=MONTH(注文書!$B$1),注文書!$B$1+5,""),TODAY()+5)</f>
        <v>46316</v>
      </c>
      <c r="C7" s="6">
        <v>46295.625</v>
      </c>
    </row>
    <row r="8" spans="1:3" x14ac:dyDescent="0.2">
      <c r="A8" s="2">
        <f ca="1">IF(ISNUMBER(注文書!$B$1),IF(MONTH(注文書!$B$1+6)=MONTH(注文書!$B$1),注文書!$B$1+6,""),TODAY()+6)</f>
        <v>46317</v>
      </c>
      <c r="C8" s="6">
        <v>46326.625</v>
      </c>
    </row>
    <row r="9" spans="1:3" x14ac:dyDescent="0.2">
      <c r="A9" s="2">
        <f ca="1">IF(ISNUMBER(注文書!$B$1),IF(MONTH(注文書!$B$1+7)=MONTH(注文書!$B$1),注文書!$B$1+7,""),TODAY()+7)</f>
        <v>46318</v>
      </c>
      <c r="C9" s="6">
        <v>46356.625</v>
      </c>
    </row>
    <row r="10" spans="1:3" x14ac:dyDescent="0.2">
      <c r="A10" s="2">
        <f ca="1">IF(ISNUMBER(注文書!$B$1),IF(MONTH(注文書!$B$1+8)=MONTH(注文書!$B$1),注文書!$B$1+8,""),TODAY()+8)</f>
        <v>46319</v>
      </c>
      <c r="C10" s="6">
        <v>46387.625</v>
      </c>
    </row>
    <row r="11" spans="1:3" x14ac:dyDescent="0.2">
      <c r="A11" s="2">
        <f ca="1">IF(ISNUMBER(注文書!$B$1),IF(MONTH(注文書!$B$1+9)=MONTH(注文書!$B$1),注文書!$B$1+9,""),TODAY()+9)</f>
        <v>46320</v>
      </c>
      <c r="C11" s="6">
        <v>46418.625</v>
      </c>
    </row>
    <row r="12" spans="1:3" x14ac:dyDescent="0.2">
      <c r="A12" s="2">
        <f ca="1">IF(ISNUMBER(注文書!$B$1),IF(MONTH(注文書!$B$1+10)=MONTH(注文書!$B$1),注文書!$B$1+10,""),TODAY()+10)</f>
        <v>46321</v>
      </c>
      <c r="C12" s="6">
        <v>46446.625</v>
      </c>
    </row>
    <row r="13" spans="1:3" x14ac:dyDescent="0.2">
      <c r="A13" s="2">
        <f ca="1">IF(ISNUMBER(注文書!$B$1),IF(MONTH(注文書!$B$1+11)=MONTH(注文書!$B$1),注文書!$B$1+11,""),TODAY()+11)</f>
        <v>46322</v>
      </c>
      <c r="C13" s="6">
        <v>46477.625</v>
      </c>
    </row>
    <row r="14" spans="1:3" x14ac:dyDescent="0.2">
      <c r="A14" s="2">
        <f ca="1">IF(ISNUMBER(注文書!$B$1),IF(MONTH(注文書!$B$1+12)=MONTH(注文書!$B$1),注文書!$B$1+12,""),TODAY()+12)</f>
        <v>46323</v>
      </c>
      <c r="C14" s="6">
        <v>46507.625</v>
      </c>
    </row>
    <row r="15" spans="1:3" x14ac:dyDescent="0.2">
      <c r="A15" s="2">
        <f ca="1">IF(ISNUMBER(注文書!$B$1),IF(MONTH(注文書!$B$1+13)=MONTH(注文書!$B$1),注文書!$B$1+13,""),TODAY()+13)</f>
        <v>46324</v>
      </c>
      <c r="C15" s="35">
        <v>46538.625</v>
      </c>
    </row>
    <row r="16" spans="1:3" x14ac:dyDescent="0.2">
      <c r="A16" s="2">
        <f ca="1">IF(ISNUMBER(注文書!$B$1),IF(MONTH(注文書!$B$1+14)=MONTH(注文書!$B$1),注文書!$B$1+14,""),TODAY()+14)</f>
        <v>46325</v>
      </c>
      <c r="C16" s="35">
        <v>46568.625</v>
      </c>
    </row>
    <row r="17" spans="1:3" x14ac:dyDescent="0.2">
      <c r="A17" s="2">
        <f ca="1">IF(ISNUMBER(注文書!$B$1),IF(MONTH(注文書!$B$1+15)=MONTH(注文書!$B$1),注文書!$B$1+15,""),TODAY()+15)</f>
        <v>46326</v>
      </c>
      <c r="C17" s="35">
        <v>46599.625</v>
      </c>
    </row>
    <row r="18" spans="1:3" x14ac:dyDescent="0.2">
      <c r="A18" s="2">
        <f ca="1">IF(ISNUMBER(注文書!$B$1),IF(MONTH(注文書!$B$1+16)=MONTH(注文書!$B$1),注文書!$B$1+16,""),TODAY()+16)</f>
        <v>46327</v>
      </c>
      <c r="C18" s="35">
        <v>46630.625</v>
      </c>
    </row>
    <row r="19" spans="1:3" x14ac:dyDescent="0.2">
      <c r="A19" s="2">
        <f ca="1">IF(ISNUMBER(注文書!$B$1),IF(MONTH(注文書!$B$1+17)=MONTH(注文書!$B$1),注文書!$B$1+17,""),TODAY()+17)</f>
        <v>46328</v>
      </c>
      <c r="C19" s="35">
        <v>46660.625</v>
      </c>
    </row>
    <row r="20" spans="1:3" x14ac:dyDescent="0.2">
      <c r="A20" s="2">
        <f ca="1">IF(ISNUMBER(注文書!$B$1),IF(MONTH(注文書!$B$1+18)=MONTH(注文書!$B$1),注文書!$B$1+18,""),TODAY()+18)</f>
        <v>46329</v>
      </c>
      <c r="C20" s="35">
        <v>46691.625</v>
      </c>
    </row>
    <row r="21" spans="1:3" x14ac:dyDescent="0.2">
      <c r="A21" s="2">
        <f ca="1">IF(ISNUMBER(注文書!$B$1),IF(MONTH(注文書!$B$1+19)=MONTH(注文書!$B$1),注文書!$B$1+19,""),TODAY()+19)</f>
        <v>46330</v>
      </c>
      <c r="C21" s="35">
        <v>46721.625</v>
      </c>
    </row>
    <row r="22" spans="1:3" x14ac:dyDescent="0.2">
      <c r="A22" s="2">
        <f ca="1">IF(ISNUMBER(注文書!$B$1),IF(MONTH(注文書!$B$1+20)=MONTH(注文書!$B$1),注文書!$B$1+20,""),TODAY()+20)</f>
        <v>46331</v>
      </c>
      <c r="C22" s="35">
        <v>46752.625</v>
      </c>
    </row>
    <row r="23" spans="1:3" x14ac:dyDescent="0.2">
      <c r="A23" s="2">
        <f ca="1">IF(ISNUMBER(注文書!$B$1),IF(MONTH(注文書!$B$1+21)=MONTH(注文書!$B$1),注文書!$B$1+21,""),TODAY()+21)</f>
        <v>46332</v>
      </c>
    </row>
    <row r="24" spans="1:3" x14ac:dyDescent="0.2">
      <c r="A24" s="2">
        <f ca="1">IF(ISNUMBER(注文書!$B$1),IF(MONTH(注文書!$B$1+22)=MONTH(注文書!$B$1),注文書!$B$1+22,""),TODAY()+22)</f>
        <v>46333</v>
      </c>
    </row>
    <row r="25" spans="1:3" x14ac:dyDescent="0.2">
      <c r="A25" s="2">
        <f ca="1">IF(ISNUMBER(注文書!$B$1),IF(MONTH(注文書!$B$1+23)=MONTH(注文書!$B$1),注文書!$B$1+23,""),TODAY()+23)</f>
        <v>46334</v>
      </c>
    </row>
    <row r="26" spans="1:3" x14ac:dyDescent="0.2">
      <c r="A26" s="2">
        <f ca="1">IF(ISNUMBER(注文書!$B$1),IF(MONTH(注文書!$B$1+24)=MONTH(注文書!$B$1),注文書!$B$1+24,""),TODAY()+24)</f>
        <v>46335</v>
      </c>
    </row>
    <row r="27" spans="1:3" x14ac:dyDescent="0.2">
      <c r="A27" s="2">
        <f ca="1">IF(ISNUMBER(注文書!$B$1),IF(MONTH(注文書!$B$1+25)=MONTH(注文書!$B$1),注文書!$B$1+25,""),TODAY()+25)</f>
        <v>46336</v>
      </c>
    </row>
    <row r="28" spans="1:3" x14ac:dyDescent="0.2">
      <c r="A28" s="2">
        <f ca="1">IF(ISNUMBER(注文書!$B$1),IF(MONTH(注文書!$B$1+26)=MONTH(注文書!$B$1),注文書!$B$1+26,""),TODAY()+26)</f>
        <v>46337</v>
      </c>
    </row>
    <row r="29" spans="1:3" x14ac:dyDescent="0.2">
      <c r="A29" s="2">
        <f ca="1">IF(ISNUMBER(注文書!$B$1),IF(MONTH(注文書!$B$1+27)=MONTH(注文書!$B$1),注文書!$B$1+27,""),TODAY()+27)</f>
        <v>46338</v>
      </c>
    </row>
    <row r="30" spans="1:3" x14ac:dyDescent="0.2">
      <c r="A30" s="2">
        <f ca="1">IF(ISNUMBER(注文書!$B$1),IF(MONTH(注文書!$B$1+28)=MONTH(注文書!$B$1),注文書!$B$1+28,""),TODAY()+28)</f>
        <v>46339</v>
      </c>
    </row>
    <row r="31" spans="1:3" x14ac:dyDescent="0.2">
      <c r="A31" s="2">
        <f ca="1">IF(ISNUMBER(注文書!$B$1),IF(MONTH(注文書!$B$1+29)=MONTH(注文書!$B$1),注文書!$B$1+29,""),TODAY()+29)</f>
        <v>46340</v>
      </c>
    </row>
    <row r="32" spans="1:3" x14ac:dyDescent="0.2">
      <c r="A32" s="2">
        <f ca="1">IF(ISNUMBER(注文書!$B$1),IF(MONTH(注文書!$B$1+30)=MONTH(注文書!$B$1),注文書!$B$1+30,""),TODAY()+30)</f>
        <v>46341</v>
      </c>
    </row>
    <row r="33" spans="1:1" x14ac:dyDescent="0.2">
      <c r="A33" s="2">
        <f ca="1">IF(ISNUMBER(注文書!$B$1),IF(MONTH(注文書!$B$1+31)=MONTH(注文書!$B$1),注文書!$B$1+31,""),TODAY()+31)</f>
        <v>46342</v>
      </c>
    </row>
    <row r="34" spans="1:1" x14ac:dyDescent="0.2">
      <c r="A34" s="2">
        <f ca="1">IF(ISNUMBER(注文書!$B$1),IF(MONTH(注文書!$B$1+32)=MONTH(注文書!$B$1),注文書!$B$1+32,""),TODAY()+32)</f>
        <v>46343</v>
      </c>
    </row>
    <row r="35" spans="1:1" x14ac:dyDescent="0.2">
      <c r="A35" s="2">
        <f ca="1">IF(ISNUMBER(注文書!$B$1),IF(MONTH(注文書!$B$1+33)=MONTH(注文書!$B$1),注文書!$B$1+33,""),TODAY()+33)</f>
        <v>46344</v>
      </c>
    </row>
    <row r="36" spans="1:1" x14ac:dyDescent="0.2">
      <c r="A36" s="2">
        <f ca="1">IF(ISNUMBER(注文書!$B$1),IF(MONTH(注文書!$B$1+34)=MONTH(注文書!$B$1),注文書!$B$1+34,""),TODAY()+34)</f>
        <v>46345</v>
      </c>
    </row>
    <row r="37" spans="1:1" x14ac:dyDescent="0.2">
      <c r="A37" s="2">
        <f ca="1">IF(ISNUMBER(注文書!$B$1),IF(MONTH(注文書!$B$1+35)=MONTH(注文書!$B$1),注文書!$B$1+35,""),TODAY()+35)</f>
        <v>46346</v>
      </c>
    </row>
    <row r="38" spans="1:1" x14ac:dyDescent="0.2">
      <c r="A38" s="2">
        <f ca="1">IF(ISNUMBER(注文書!$B$1),IF(MONTH(注文書!$B$1+36)=MONTH(注文書!$B$1),注文書!$B$1+36,""),TODAY()+36)</f>
        <v>46347</v>
      </c>
    </row>
    <row r="39" spans="1:1" x14ac:dyDescent="0.2">
      <c r="A39" s="2">
        <f ca="1">IF(ISNUMBER(注文書!$B$1),IF(MONTH(注文書!$B$1+37)=MONTH(注文書!$B$1),注文書!$B$1+37,""),TODAY()+37)</f>
        <v>46348</v>
      </c>
    </row>
    <row r="40" spans="1:1" x14ac:dyDescent="0.2">
      <c r="A40" s="2">
        <f ca="1">IF(ISNUMBER(注文書!$B$1),IF(MONTH(注文書!$B$1+38)=MONTH(注文書!$B$1),注文書!$B$1+38,""),TODAY()+38)</f>
        <v>46349</v>
      </c>
    </row>
    <row r="41" spans="1:1" x14ac:dyDescent="0.2">
      <c r="A41" s="2">
        <f ca="1">IF(ISNUMBER(注文書!$B$1),IF(MONTH(注文書!$B$1+39)=MONTH(注文書!$B$1),注文書!$B$1+39,""),TODAY()+39)</f>
        <v>46350</v>
      </c>
    </row>
    <row r="42" spans="1:1" x14ac:dyDescent="0.2">
      <c r="A42" s="2">
        <f ca="1">IF(ISNUMBER(注文書!$B$1),IF(MONTH(注文書!$B$1+40)=MONTH(注文書!$B$1),注文書!$B$1+40,""),TODAY()+40)</f>
        <v>46351</v>
      </c>
    </row>
    <row r="43" spans="1:1" x14ac:dyDescent="0.2">
      <c r="A43" s="2">
        <f ca="1">IF(ISNUMBER(注文書!$B$1),IF(MONTH(注文書!$B$1+41)=MONTH(注文書!$B$1),注文書!$B$1+41,""),TODAY()+41)</f>
        <v>46352</v>
      </c>
    </row>
    <row r="44" spans="1:1" x14ac:dyDescent="0.2">
      <c r="A44" s="2">
        <f ca="1">IF(ISNUMBER(注文書!$B$1),IF(MONTH(注文書!$B$1+42)=MONTH(注文書!$B$1),注文書!$B$1+42,""),TODAY()+42)</f>
        <v>46353</v>
      </c>
    </row>
    <row r="45" spans="1:1" x14ac:dyDescent="0.2">
      <c r="A45" s="2">
        <f ca="1">IF(ISNUMBER(注文書!$B$1),IF(MONTH(注文書!$B$1+43)=MONTH(注文書!$B$1),注文書!$B$1+43,""),TODAY()+43)</f>
        <v>46354</v>
      </c>
    </row>
    <row r="46" spans="1:1" x14ac:dyDescent="0.2">
      <c r="A46" s="2">
        <f ca="1">IF(ISNUMBER(注文書!$B$1),IF(MONTH(注文書!$B$1+44)=MONTH(注文書!$B$1),注文書!$B$1+44,""),TODAY()+44)</f>
        <v>46355</v>
      </c>
    </row>
  </sheetData>
  <phoneticPr fontId="3"/>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注文書</vt:lpstr>
      <vt:lpstr>商品名一覧</vt:lpstr>
      <vt:lpstr>備考一覧</vt:lpstr>
      <vt:lpstr>使い方</vt:lpstr>
      <vt:lpstr>日付リスト</vt:lpstr>
      <vt:lpstr>注文書!Print_Area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賢 若林</cp:lastModifiedBy>
  <cp:lastPrinted>2026-07-07T02:58:23Z</cp:lastPrinted>
  <dcterms:created xsi:type="dcterms:W3CDTF">2026-07-06T10:13:06Z</dcterms:created>
  <dcterms:modified xsi:type="dcterms:W3CDTF">2026-10-16T12:15:41Z</dcterms:modified>
</cp:coreProperties>
</file>