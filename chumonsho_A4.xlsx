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hono\Documents\株式会社若林商店\発注書書き方マニュアル\"/>
    </mc:Choice>
  </mc:AlternateContent>
  <xr:revisionPtr revIDLastSave="0" documentId="13_ncr:1_{72FF8FB3-67E9-4610-BABB-708244A3925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注文書" sheetId="1" r:id="rId1"/>
    <sheet name="商品名一覧" sheetId="2" r:id="rId2"/>
    <sheet name="備考一覧" sheetId="4" r:id="rId3"/>
    <sheet name="使い方" sheetId="5" r:id="rId4"/>
    <sheet name="日付リスト" sheetId="3" state="hidden" r:id="rId5"/>
  </sheets>
  <definedNames>
    <definedName name="_xlnm.Print_Area" localSheetId="0">注文書!$A$1:$D$22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3" l="1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D1" i="1"/>
</calcChain>
</file>

<file path=xl/sharedStrings.xml><?xml version="1.0" encoding="utf-8"?>
<sst xmlns="http://schemas.openxmlformats.org/spreadsheetml/2006/main" count="97" uniqueCount="96">
  <si>
    <t>記入日</t>
  </si>
  <si>
    <t>注　文　書</t>
  </si>
  <si>
    <t>品　　名</t>
  </si>
  <si>
    <t>備　考</t>
  </si>
  <si>
    <t>数　量</t>
  </si>
  <si>
    <t>【豚肉】</t>
  </si>
  <si>
    <t>豚こま</t>
  </si>
  <si>
    <t>豚ひき</t>
  </si>
  <si>
    <t>豚バラ</t>
  </si>
  <si>
    <t>豚カタロース</t>
  </si>
  <si>
    <t>豚ロース</t>
  </si>
  <si>
    <t>豚ヒレ</t>
  </si>
  <si>
    <t>豚レバー</t>
  </si>
  <si>
    <t>豚ガラパック</t>
  </si>
  <si>
    <t>【鶏肉】</t>
  </si>
  <si>
    <t>鶏ムネこま</t>
  </si>
  <si>
    <t>鶏モモこま</t>
  </si>
  <si>
    <t>鶏ムネひき</t>
  </si>
  <si>
    <t>鶏モモひき</t>
  </si>
  <si>
    <t>鶏ササミ</t>
  </si>
  <si>
    <t>鶏ササミひき</t>
  </si>
  <si>
    <t>鶏レバー</t>
  </si>
  <si>
    <t>鶏ガラパック</t>
  </si>
  <si>
    <t>【牛肉】</t>
  </si>
  <si>
    <t>牛ひき</t>
  </si>
  <si>
    <t>リストにないものも自由記入可</t>
    <rPh sb="9" eb="13">
      <t>ジユウキニュウ</t>
    </rPh>
    <rPh sb="13" eb="14">
      <t>カ</t>
    </rPh>
    <phoneticPr fontId="3"/>
  </si>
  <si>
    <t>特殊カットのみ選択　　自由記入可能</t>
    <rPh sb="0" eb="2">
      <t>トクシュ</t>
    </rPh>
    <rPh sb="7" eb="9">
      <t>センタク</t>
    </rPh>
    <rPh sb="11" eb="17">
      <t>ジユウキニュウカノウ</t>
    </rPh>
    <phoneticPr fontId="3"/>
  </si>
  <si>
    <t>kg記入統一</t>
    <rPh sb="2" eb="6">
      <t>キニュウトウイツ</t>
    </rPh>
    <phoneticPr fontId="3"/>
  </si>
  <si>
    <t>備考一覧</t>
    <rPh sb="2" eb="4">
      <t>イチラン</t>
    </rPh>
    <phoneticPr fontId="3"/>
  </si>
  <si>
    <t>〇/〇記入可　　順不同可能</t>
    <rPh sb="3" eb="5">
      <t>キニュウ</t>
    </rPh>
    <rPh sb="5" eb="6">
      <t>カ</t>
    </rPh>
    <rPh sb="8" eb="11">
      <t>ジュンフドウ</t>
    </rPh>
    <rPh sb="11" eb="13">
      <t>カノウ</t>
    </rPh>
    <phoneticPr fontId="3"/>
  </si>
  <si>
    <t>説明</t>
    <rPh sb="0" eb="2">
      <t>セツメイ</t>
    </rPh>
    <phoneticPr fontId="3"/>
  </si>
  <si>
    <t>商品名一覧（灰色枠内編集OKです）</t>
    <rPh sb="6" eb="12">
      <t>ハイイロワクナイヘンシュウ</t>
    </rPh>
    <phoneticPr fontId="3"/>
  </si>
  <si>
    <t>選択しない</t>
  </si>
  <si>
    <t>必要であれば年月を選択</t>
    <phoneticPr fontId="3"/>
  </si>
  <si>
    <t>納品日
月　日</t>
    <rPh sb="0" eb="3">
      <t>ノウヒンビ</t>
    </rPh>
    <phoneticPr fontId="3"/>
  </si>
  <si>
    <t>施設名記入</t>
    <rPh sb="0" eb="5">
      <t>シセツメイキニュウ</t>
    </rPh>
    <phoneticPr fontId="3"/>
  </si>
  <si>
    <t>株式会社若林商店宛　FAX03-3637-8501</t>
    <phoneticPr fontId="3"/>
  </si>
  <si>
    <t>豚こま(脂なし)</t>
  </si>
  <si>
    <t>豚モモこま</t>
  </si>
  <si>
    <t>豚モモこま(脂なし)</t>
  </si>
  <si>
    <t>豚ひき(脂なし)</t>
  </si>
  <si>
    <t>豚モモひき</t>
  </si>
  <si>
    <t>豚モモひき(脂なし)</t>
  </si>
  <si>
    <t>豚ロース(脂なし)</t>
  </si>
  <si>
    <t>鶏ムネ(g指定切り身)</t>
  </si>
  <si>
    <t>鶏ムネ(g指定切り身)(皮なし)</t>
  </si>
  <si>
    <t>鶏モモ(g指定切り身)</t>
  </si>
  <si>
    <t>鶏モモ(g指定切り)(皮なし)</t>
  </si>
  <si>
    <t>鶏ムネこま(皮なし)</t>
  </si>
  <si>
    <t>鶏モモこま(皮なし)</t>
  </si>
  <si>
    <t>鶏ムネひき(皮なし)</t>
  </si>
  <si>
    <t>鶏モモひき(皮なし)</t>
  </si>
  <si>
    <t>鶏テバモト</t>
  </si>
  <si>
    <t>鶏テバサキ</t>
  </si>
  <si>
    <t>鶏骨付モモ</t>
  </si>
  <si>
    <t>【ハム類・皮】</t>
  </si>
  <si>
    <t>ベーコン(乳卵なし)</t>
  </si>
  <si>
    <t>ポークハム(乳卵なし)</t>
  </si>
  <si>
    <t>ソフトサラミ(乳卵なし)</t>
  </si>
  <si>
    <t>ロースハム(乳卵なし)</t>
  </si>
  <si>
    <t>ウインナー(乳卵なし)</t>
  </si>
  <si>
    <t>フランクフルト(乳卵なし)</t>
  </si>
  <si>
    <t>シューマイの皮</t>
  </si>
  <si>
    <t>ギョウザの皮</t>
  </si>
  <si>
    <t>ワンタンの皮</t>
  </si>
  <si>
    <t>牛こま</t>
  </si>
  <si>
    <t>牛こま(脂なし)</t>
  </si>
  <si>
    <t>牛ひき(脂なし)</t>
  </si>
  <si>
    <t>あいびき</t>
  </si>
  <si>
    <t>角</t>
  </si>
  <si>
    <t>大きさを付けて（例 1cm角）</t>
  </si>
  <si>
    <t>色紙</t>
  </si>
  <si>
    <t>大きさを付けて（例 7mm色紙）</t>
  </si>
  <si>
    <t>短冊</t>
  </si>
  <si>
    <t>ハム・ベーコンは書かなければ短冊</t>
  </si>
  <si>
    <t>千切り</t>
  </si>
  <si>
    <t>g*</t>
  </si>
  <si>
    <t>30g*45　このような簡易表記でOKです　＝30g×45枚（*=×の意味です）</t>
  </si>
  <si>
    <t>g*　開き</t>
  </si>
  <si>
    <t>g×</t>
  </si>
  <si>
    <t>g×　開き</t>
  </si>
  <si>
    <t>本</t>
  </si>
  <si>
    <t>ササミなどの本数発注は重量未記入でOKです</t>
  </si>
  <si>
    <t>枚</t>
  </si>
  <si>
    <t>枚以上</t>
  </si>
  <si>
    <t>シューマイ・ギョウザ・ワンタンの皮：数量は書かずに「160枚以上」のように。袋数は当社で計算します</t>
  </si>
  <si>
    <t>使い方（3つだけ）</t>
  </si>
  <si>
    <t>① はじめに「施設名記入」の所に、園の名前を入れて保存</t>
  </si>
  <si>
    <t>② 注文を下へ書き足していく（納品日・品名・数量（kg）・備考）</t>
  </si>
  <si>
    <t>③ 印刷して、今まで通り FAX（03-3637-8501）へ</t>
  </si>
  <si>
    <t>・品名と備考は ▼ から選べます。リストに無い物も、そのまま書いてOKです</t>
  </si>
  <si>
    <t>・数量は数字だけ（kg は自動で付きます）</t>
  </si>
  <si>
    <t>・切り方を書かなければ、当社の規定の切り方で納品します（「切り方と商品名の一覧表」）</t>
  </si>
  <si>
    <t>・g指定切りは、備考に「60g×20枚」のように</t>
  </si>
  <si>
    <t>・シューマイ・ギョウザ・ワンタンの皮は、数量は空けて、備考に「160枚以上」のように</t>
  </si>
  <si>
    <t>株式会社若林商店　FAX 03-3637-8501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</si>
</sst>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\(aaa\)"/>
    <numFmt numFmtId="177" formatCode="0.###&quot; kg&quot;"/>
    <numFmt numFmtId="178" formatCode="yyyy&quot;年&quot;m&quot;月分&quot;"/>
    <numFmt numFmtId="179" formatCode="General&quot; kg&quot;"/>
  </numFmts>
  <fonts count="19" x14ac:knownFonts="1">
    <font>
      <sz val="11"/>
      <color theme="1"/>
      <name val="ＭＳ Ｐゴシック"/>
      <family val="2"/>
      <scheme val="minor"/>
    </font>
    <font>
      <b/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HGP教科書体"/>
      <family val="1"/>
      <charset val="128"/>
    </font>
    <font>
      <sz val="11"/>
      <color theme="1" tint="0.499984740745262"/>
      <name val="HGP教科書体"/>
      <family val="1"/>
      <charset val="128"/>
    </font>
    <font>
      <sz val="16"/>
      <name val="HGP教科書体"/>
      <family val="1"/>
      <charset val="128"/>
    </font>
    <font>
      <sz val="16"/>
      <color theme="1"/>
      <name val="HGP教科書体"/>
      <family val="1"/>
      <charset val="128"/>
    </font>
    <font>
      <sz val="11"/>
      <color rgb="FF999999"/>
      <name val="HGP教科書体"/>
      <family val="1"/>
      <charset val="128"/>
    </font>
    <font>
      <sz val="14"/>
      <name val="HGP教科書体"/>
      <family val="1"/>
      <charset val="128"/>
    </font>
    <font>
      <sz val="17"/>
      <name val="HGP教科書体"/>
      <family val="1"/>
      <charset val="128"/>
    </font>
    <font>
      <b/>
      <sz val="25"/>
      <name val="HGP教科書体"/>
      <family val="1"/>
      <charset val="128"/>
    </font>
    <font>
      <sz val="11"/>
      <color theme="1" tint="0.249977111117893"/>
      <name val="HGP教科書体"/>
      <family val="1"/>
      <charset val="128"/>
    </font>
    <font>
      <sz val="16"/>
      <color theme="1" tint="0.499984740745262"/>
      <name val="HGP教科書体"/>
      <family val="1"/>
      <charset val="128"/>
    </font>
    <font>
      <b/>
      <sz val="14"/>
      <name val="HGP教科書体"/>
      <family val="1"/>
      <charset val="128"/>
    </font>
    <font>
      <sz val="23"/>
      <color rgb="FFFF0000"/>
      <name val="HGP教科書体"/>
      <family val="1"/>
      <charset val="128"/>
    </font>
    <font>
      <sz val="16"/>
      <color rgb="FF000000"/>
      <name val="HGP教科書体"/>
      <family val="1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2" borderId="2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178" fontId="0" fillId="0" borderId="0" xfId="0" applyNumberFormat="1"/>
    <xf numFmtId="49" fontId="0" fillId="0" borderId="0" xfId="0" applyNumberFormat="1"/>
    <xf numFmtId="178" fontId="8" fillId="0" borderId="0" xfId="0" applyNumberFormat="1" applyFont="1" applyAlignment="1" applyProtection="1">
      <alignment horizontal="center" vertical="center" shrinkToFit="1"/>
      <protection locked="0"/>
    </xf>
    <xf numFmtId="0" fontId="7" fillId="0" borderId="0" xfId="0" applyFont="1"/>
    <xf numFmtId="0" fontId="9" fillId="0" borderId="0" xfId="0" applyFont="1" applyAlignment="1">
      <alignment horizontal="right" vertical="center"/>
    </xf>
    <xf numFmtId="31" fontId="10" fillId="0" borderId="0" xfId="0" applyNumberFormat="1" applyFont="1" applyAlignment="1">
      <alignment horizontal="center" vertical="center" shrinkToFit="1"/>
    </xf>
    <xf numFmtId="0" fontId="4" fillId="0" borderId="0" xfId="0" applyFont="1"/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5" fillId="0" borderId="0" xfId="0" applyFont="1"/>
    <xf numFmtId="0" fontId="14" fillId="0" borderId="1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177" fontId="7" fillId="0" borderId="2" xfId="0" applyNumberFormat="1" applyFont="1" applyBorder="1" applyAlignment="1">
      <alignment horizontal="right"/>
    </xf>
    <xf numFmtId="176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shrinkToFi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176" fontId="7" fillId="0" borderId="2" xfId="0" applyNumberFormat="1" applyFont="1" applyBorder="1" applyAlignment="1" applyProtection="1">
      <alignment horizontal="center"/>
      <protection locked="0"/>
    </xf>
    <xf numFmtId="0" fontId="7" fillId="0" borderId="2" xfId="0" applyFont="1" applyBorder="1" applyProtection="1">
      <protection locked="0"/>
    </xf>
    <xf numFmtId="179" fontId="6" fillId="0" borderId="1" xfId="0" applyNumberFormat="1" applyFont="1" applyBorder="1" applyAlignment="1" applyProtection="1">
      <alignment horizontal="right" vertical="center"/>
      <protection locked="0"/>
    </xf>
    <xf numFmtId="179" fontId="7" fillId="0" borderId="2" xfId="0" applyNumberFormat="1" applyFont="1" applyBorder="1" applyAlignment="1" applyProtection="1">
      <alignment horizontal="right"/>
      <protection locked="0"/>
    </xf>
    <xf numFmtId="22" fontId="0" fillId="0" borderId="0" xfId="0" applyNumberFormat="1"/>
    <xf numFmtId="0" fontId="17" fillId="0" borderId="0" xfId="0" applyFont="1"/>
    <xf numFmtId="0" fontId="18" fillId="0" borderId="0" xfId="0" applyFont="1"/>
    <xf numFmtId="0" fontId="15" fillId="0" borderId="0" xfId="0" applyFont="1" applyAlignment="1" applyProtection="1">
      <alignment horizontal="right" vertical="center"/>
      <protection locked="0"/>
    </xf>
    <xf numFmtId="0" fontId="16" fillId="0" borderId="0" xfId="0" applyFont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1" fillId="0" borderId="0" xfId="0" applyFont="1" applyAlignment="1">
      <alignment horizontal="center" vertical="center"/>
    </xf>
  </cellXfs>
  <cellStyles count="1">
    <cellStyle name="標準" xfId="0" builtinId="0"/>
  </cellStyles>
  <dxfs count="1">
    <dxf>
      <font>
        <b/>
        <i val="0"/>
        <color rgb="FF0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0"/>
  <sheetViews>
    <sheetView workbookViewId="0">
      <selection activeCell="A3" sqref="A3:B3"/>
    </sheetView>
  </sheetViews>
  <sheetFormatPr defaultRowHeight="13" x14ac:dyDescent="0.2"/>
  <cols>
    <col min="1" max="1" width="13.08984375" style="12" customWidth="1"/>
    <col min="2" max="2" width="36.453125" style="12" customWidth="1"/>
    <col min="3" max="4" width="18.1796875" style="12" customWidth="1"/>
    <col min="5" max="16384" width="8.7265625" style="12"/>
  </cols>
  <sheetData>
    <row r="1" spans="1:5" ht="31.15" customHeight="1" x14ac:dyDescent="0.3">
      <c r="A1" s="9"/>
      <c r="B1" s="8" t="s">
        <v>33</v>
      </c>
      <c r="C1" s="10" t="s">
        <v>0</v>
      </c>
      <c r="D1" s="11">
        <f ca="1">TODAY()</f>
        <v>46311</v>
      </c>
      <c r="E1" s="9"/>
    </row>
    <row r="2" spans="1:5" ht="39.65" customHeight="1" x14ac:dyDescent="0.3">
      <c r="A2" s="37" t="s">
        <v>1</v>
      </c>
      <c r="B2" s="37"/>
      <c r="C2" s="37"/>
      <c r="D2" s="37"/>
      <c r="E2" s="9"/>
    </row>
    <row r="3" spans="1:5" ht="31.15" customHeight="1" x14ac:dyDescent="0.3">
      <c r="A3" s="35" t="s">
        <v>36</v>
      </c>
      <c r="B3" s="36"/>
      <c r="C3" s="34" t="s">
        <v>35</v>
      </c>
      <c r="D3" s="34"/>
      <c r="E3" s="9"/>
    </row>
    <row r="4" spans="1:5" ht="19.75" customHeight="1" x14ac:dyDescent="0.3">
      <c r="B4" s="13"/>
      <c r="C4" s="34"/>
      <c r="D4" s="34"/>
      <c r="E4" s="9"/>
    </row>
    <row r="5" spans="1:5" s="17" customFormat="1" ht="36" customHeight="1" x14ac:dyDescent="0.3">
      <c r="A5" s="14" t="s">
        <v>29</v>
      </c>
      <c r="B5" s="15" t="s">
        <v>25</v>
      </c>
      <c r="C5" s="15" t="s">
        <v>27</v>
      </c>
      <c r="D5" s="14" t="s">
        <v>26</v>
      </c>
      <c r="E5" s="16"/>
    </row>
    <row r="6" spans="1:5" ht="48.15" customHeight="1" x14ac:dyDescent="0.3">
      <c r="A6" s="18" t="s">
        <v>34</v>
      </c>
      <c r="B6" s="18" t="s">
        <v>2</v>
      </c>
      <c r="C6" s="18" t="s">
        <v>4</v>
      </c>
      <c r="D6" s="18" t="s">
        <v>3</v>
      </c>
      <c r="E6" s="9"/>
    </row>
    <row r="7" spans="1:5" ht="25" customHeight="1" x14ac:dyDescent="0.3">
      <c r="A7" s="22"/>
      <c r="B7" s="23"/>
      <c r="C7" s="29"/>
      <c r="D7" s="24"/>
      <c r="E7" s="9"/>
    </row>
    <row r="8" spans="1:5" ht="25" customHeight="1" x14ac:dyDescent="0.3">
      <c r="A8" s="22"/>
      <c r="B8" s="25"/>
      <c r="C8" s="29"/>
      <c r="D8" s="26"/>
      <c r="E8" s="9"/>
    </row>
    <row r="9" spans="1:5" ht="25" customHeight="1" x14ac:dyDescent="0.3">
      <c r="A9" s="22"/>
      <c r="B9" s="25"/>
      <c r="C9" s="29"/>
      <c r="D9" s="26"/>
      <c r="E9" s="9"/>
    </row>
    <row r="10" spans="1:5" ht="25" customHeight="1" x14ac:dyDescent="0.3">
      <c r="A10" s="22"/>
      <c r="B10" s="25"/>
      <c r="C10" s="29"/>
      <c r="D10" s="26"/>
      <c r="E10" s="9"/>
    </row>
    <row r="11" spans="1:5" ht="25" customHeight="1" x14ac:dyDescent="0.3">
      <c r="A11" s="22"/>
      <c r="B11" s="25"/>
      <c r="C11" s="29"/>
      <c r="D11" s="26"/>
      <c r="E11" s="9"/>
    </row>
    <row r="12" spans="1:5" ht="25" customHeight="1" x14ac:dyDescent="0.3">
      <c r="A12" s="22"/>
      <c r="B12" s="25"/>
      <c r="C12" s="29"/>
      <c r="D12" s="26"/>
      <c r="E12" s="9"/>
    </row>
    <row r="13" spans="1:5" ht="25" customHeight="1" x14ac:dyDescent="0.3">
      <c r="A13" s="22"/>
      <c r="B13" s="25"/>
      <c r="C13" s="29"/>
      <c r="D13" s="26"/>
      <c r="E13" s="9"/>
    </row>
    <row r="14" spans="1:5" ht="25" customHeight="1" x14ac:dyDescent="0.3">
      <c r="A14" s="22"/>
      <c r="B14" s="25"/>
      <c r="C14" s="29"/>
      <c r="D14" s="26"/>
      <c r="E14" s="9"/>
    </row>
    <row r="15" spans="1:5" ht="25" customHeight="1" x14ac:dyDescent="0.3">
      <c r="A15" s="22"/>
      <c r="B15" s="25"/>
      <c r="C15" s="29"/>
      <c r="D15" s="26"/>
      <c r="E15" s="9"/>
    </row>
    <row r="16" spans="1:5" ht="25" customHeight="1" x14ac:dyDescent="0.3">
      <c r="A16" s="22"/>
      <c r="B16" s="25"/>
      <c r="C16" s="29"/>
      <c r="D16" s="26"/>
      <c r="E16" s="9"/>
    </row>
    <row r="17" spans="1:5" ht="25" customHeight="1" x14ac:dyDescent="0.3">
      <c r="A17" s="22"/>
      <c r="B17" s="25"/>
      <c r="C17" s="29"/>
      <c r="D17" s="26"/>
      <c r="E17" s="9"/>
    </row>
    <row r="18" spans="1:5" ht="25" customHeight="1" x14ac:dyDescent="0.3">
      <c r="A18" s="22"/>
      <c r="B18" s="25"/>
      <c r="C18" s="29"/>
      <c r="D18" s="26"/>
      <c r="E18" s="9"/>
    </row>
    <row r="19" spans="1:5" ht="25" customHeight="1" x14ac:dyDescent="0.3">
      <c r="A19" s="22"/>
      <c r="B19" s="25"/>
      <c r="C19" s="29"/>
      <c r="D19" s="26"/>
      <c r="E19" s="9"/>
    </row>
    <row r="20" spans="1:5" ht="25" customHeight="1" x14ac:dyDescent="0.3">
      <c r="A20" s="27"/>
      <c r="B20" s="28"/>
      <c r="C20" s="30"/>
      <c r="D20" s="28"/>
      <c r="E20" s="9"/>
    </row>
    <row r="21" spans="1:5" ht="25" customHeight="1" x14ac:dyDescent="0.3">
      <c r="A21" s="27"/>
      <c r="B21" s="28"/>
      <c r="C21" s="30"/>
      <c r="D21" s="28"/>
      <c r="E21" s="9"/>
    </row>
    <row r="22" spans="1:5" ht="25" customHeight="1" x14ac:dyDescent="0.3">
      <c r="A22" s="27"/>
      <c r="B22" s="28"/>
      <c r="C22" s="30"/>
      <c r="D22" s="28"/>
      <c r="E22" s="9"/>
    </row>
    <row r="23" spans="1:5" ht="25" customHeight="1" x14ac:dyDescent="0.3">
      <c r="A23" s="19"/>
      <c r="B23" s="20"/>
      <c r="C23" s="20"/>
      <c r="D23" s="21"/>
      <c r="E23" s="9"/>
    </row>
    <row r="24" spans="1:5" ht="25" customHeight="1" x14ac:dyDescent="0.3">
      <c r="A24" s="19"/>
      <c r="B24" s="20"/>
      <c r="C24" s="20"/>
      <c r="D24" s="21"/>
      <c r="E24" s="9"/>
    </row>
    <row r="25" spans="1:5" ht="25" customHeight="1" x14ac:dyDescent="0.3">
      <c r="A25" s="19"/>
      <c r="B25" s="20"/>
      <c r="C25" s="20"/>
      <c r="D25" s="21"/>
      <c r="E25" s="9"/>
    </row>
    <row r="26" spans="1:5" ht="25" customHeight="1" x14ac:dyDescent="0.3">
      <c r="A26" s="19"/>
      <c r="B26" s="20"/>
      <c r="C26" s="20"/>
      <c r="D26" s="21"/>
    </row>
    <row r="27" spans="1:5" ht="25" customHeight="1" x14ac:dyDescent="0.3">
      <c r="A27" s="19"/>
      <c r="B27" s="20"/>
      <c r="C27" s="20"/>
      <c r="D27" s="21"/>
    </row>
    <row r="28" spans="1:5" ht="25" customHeight="1" x14ac:dyDescent="0.3">
      <c r="A28" s="19"/>
      <c r="B28" s="20"/>
      <c r="C28" s="20"/>
      <c r="D28" s="21"/>
    </row>
    <row r="29" spans="1:5" ht="25" customHeight="1" x14ac:dyDescent="0.3">
      <c r="A29" s="19"/>
      <c r="B29" s="20"/>
      <c r="C29" s="20"/>
      <c r="D29" s="21"/>
    </row>
    <row r="30" spans="1:5" ht="25" customHeight="1" x14ac:dyDescent="0.3">
      <c r="A30" s="19"/>
      <c r="B30" s="20"/>
      <c r="C30" s="20"/>
      <c r="D30" s="21"/>
    </row>
    <row r="31" spans="1:5" ht="25" customHeight="1" x14ac:dyDescent="0.2"/>
    <row r="32" spans="1:5" ht="25" customHeight="1" x14ac:dyDescent="0.2"/>
    <row r="33" ht="25" customHeight="1" x14ac:dyDescent="0.2"/>
    <row r="34" ht="25" customHeight="1" x14ac:dyDescent="0.2"/>
    <row r="35" ht="25" customHeight="1" x14ac:dyDescent="0.2"/>
    <row r="36" ht="25" customHeight="1" x14ac:dyDescent="0.2"/>
    <row r="37" ht="25" customHeight="1" x14ac:dyDescent="0.2"/>
    <row r="38" ht="25" customHeight="1" x14ac:dyDescent="0.2"/>
    <row r="39" ht="25" customHeight="1" x14ac:dyDescent="0.2"/>
    <row r="40" ht="25" customHeight="1" x14ac:dyDescent="0.2"/>
    <row r="41" ht="25" customHeight="1" x14ac:dyDescent="0.2"/>
    <row r="42" ht="25" customHeight="1" x14ac:dyDescent="0.2"/>
    <row r="43" ht="25" customHeight="1" x14ac:dyDescent="0.2"/>
    <row r="44" ht="25" customHeight="1" x14ac:dyDescent="0.2"/>
    <row r="45" ht="25" customHeight="1" x14ac:dyDescent="0.2"/>
    <row r="46" ht="25" customHeight="1" x14ac:dyDescent="0.2"/>
    <row r="47" ht="25" customHeight="1" x14ac:dyDescent="0.2"/>
    <row r="48" ht="25" customHeight="1" x14ac:dyDescent="0.2"/>
    <row r="49" ht="25" customHeight="1" x14ac:dyDescent="0.2"/>
    <row r="50" ht="25" customHeight="1" x14ac:dyDescent="0.2"/>
  </sheetData>
  <mergeCells count="3">
    <mergeCell ref="C3:D4"/>
    <mergeCell ref="A3:B3"/>
    <mergeCell ref="A2:D2"/>
  </mergeCells>
  <phoneticPr fontId="3"/>
  <conditionalFormatting sqref="B1">
    <cfRule type="expression" dxfId="0" priority="1" stopIfTrue="1">
      <formula>ISNUMBER($B$1)</formula>
    </cfRule>
  </conditionalFormatting>
  <dataValidations count="1">
    <dataValidation type="decimal" operator="greaterThanOrEqual" allowBlank="1" showInputMessage="1" showErrorMessage="1" error="数量は数字だけ入れてください（kg は自動で付きます）" sqref="C7:C22" xr:uid="{76A84F07-3A7A-4DA5-80EA-509717C0408B}">
      <formula1>0</formula1>
    </dataValidation>
  </dataValidations>
  <pageMargins left="0.39370078740157483" right="0.39370078740157483" top="0.39370078740157483" bottom="0.39370078740157483" header="0.5" footer="0.5"/>
  <pageSetup paperSize="9" scale="94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xr:uid="{62D317FC-23B3-4CB6-B9C5-8928CBC6AB6F}">
          <x14:formula1>
            <xm:f>日付リスト!$A$2:$A$46</xm:f>
          </x14:formula1>
          <xm:sqref>A24:A30</xm:sqref>
        </x14:dataValidation>
        <x14:dataValidation type="list" allowBlank="1" showInputMessage="1" xr:uid="{D67EA904-5FF8-4687-8A2C-124F5F44FD48}">
          <x14:formula1>
            <xm:f>OFFSET(日付リスト!$A$2,0,0,COUNT(日付リスト!$A$2:$A$46),1)</xm:f>
          </x14:formula1>
          <xm:sqref>A7:A22</xm:sqref>
        </x14:dataValidation>
        <x14:dataValidation type="list" allowBlank="1" showInputMessage="1" xr:uid="{CE5A62FE-65B6-4044-A9B9-83750C803BE4}">
          <x14:formula1>
            <xm:f>備考一覧!$A$2:$A$100</xm:f>
          </x14:formula1>
          <xm:sqref>C23:C30</xm:sqref>
        </x14:dataValidation>
        <x14:dataValidation type="list" allowBlank="1" showInputMessage="1" xr:uid="{BACA4444-D070-4314-A5F7-A4BAD0C9FE20}">
          <x14:formula1>
            <xm:f>備考一覧!$A$2:$A$12</xm:f>
          </x14:formula1>
          <xm:sqref>D7:D22</xm:sqref>
        </x14:dataValidation>
        <x14:dataValidation type="list" allowBlank="1" showInputMessage="1" xr:uid="{CB6FF735-E05C-4C86-8E10-934425A236B5}">
          <x14:formula1>
            <xm:f>商品名一覧!$A$2:$A$98</xm:f>
          </x14:formula1>
          <xm:sqref>B23:B30</xm:sqref>
        </x14:dataValidation>
        <x14:dataValidation type="list" allowBlank="1" showInputMessage="1" xr:uid="{00E0BD47-2B48-451F-937F-9D6C4342CFB4}">
          <x14:formula1>
            <xm:f>商品名一覧!$A$2:$A$53</xm:f>
          </x14:formula1>
          <xm:sqref>B7:B22</xm:sqref>
        </x14:dataValidation>
        <x14:dataValidation type="list" allowBlank="1" showInputMessage="1" xr:uid="{528F5B7E-8B6B-4E74-8BAD-677D27ED0033}">
          <x14:formula1>
            <xm:f>日付リスト!$C$2:$C$22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"/>
  <sheetViews>
    <sheetView tabSelected="1" topLeftCell="A29" workbookViewId="0">
      <selection activeCell="B10" sqref="B10"/>
    </sheetView>
  </sheetViews>
  <sheetFormatPr defaultRowHeight="13" x14ac:dyDescent="0.2"/>
  <cols>
    <col min="1" max="2" width="40.6328125" customWidth="1"/>
    <col min="3" max="3" width="20" customWidth="1"/>
  </cols>
  <sheetData>
    <row r="1" spans="1:2" x14ac:dyDescent="0.2">
      <c r="A1" s="1" t="s">
        <v>31</v>
      </c>
      <c r="B1" t="s">
        <v>30</v>
      </c>
    </row>
    <row r="2" spans="1:2" x14ac:dyDescent="0.2">
      <c r="A2" s="5" t="s">
        <v>5</v>
      </c>
    </row>
    <row r="3" spans="1:2" x14ac:dyDescent="0.2">
      <c r="A3" s="3" t="s">
        <v>6</v>
      </c>
    </row>
    <row r="4" spans="1:2" x14ac:dyDescent="0.2">
      <c r="A4" s="3" t="s">
        <v>37</v>
      </c>
    </row>
    <row r="5" spans="1:2" x14ac:dyDescent="0.2">
      <c r="A5" s="3" t="s">
        <v>38</v>
      </c>
    </row>
    <row r="6" spans="1:2" x14ac:dyDescent="0.2">
      <c r="A6" s="3" t="s">
        <v>39</v>
      </c>
    </row>
    <row r="7" spans="1:2" x14ac:dyDescent="0.2">
      <c r="A7" s="3" t="s">
        <v>7</v>
      </c>
    </row>
    <row r="8" spans="1:2" x14ac:dyDescent="0.2">
      <c r="A8" s="3" t="s">
        <v>40</v>
      </c>
    </row>
    <row r="9" spans="1:2" x14ac:dyDescent="0.2">
      <c r="A9" s="3" t="s">
        <v>41</v>
      </c>
    </row>
    <row r="10" spans="1:2" x14ac:dyDescent="0.2">
      <c r="A10" s="3" t="s">
        <v>42</v>
      </c>
    </row>
    <row r="11" spans="1:2" x14ac:dyDescent="0.2">
      <c r="A11" s="3" t="s">
        <v>8</v>
      </c>
    </row>
    <row r="12" spans="1:2" x14ac:dyDescent="0.2">
      <c r="A12" s="3" t="s">
        <v>9</v>
      </c>
    </row>
    <row r="13" spans="1:2" x14ac:dyDescent="0.2">
      <c r="A13" s="3" t="s">
        <v>10</v>
      </c>
    </row>
    <row r="14" spans="1:2" x14ac:dyDescent="0.2">
      <c r="A14" s="3" t="s">
        <v>43</v>
      </c>
    </row>
    <row r="15" spans="1:2" x14ac:dyDescent="0.2">
      <c r="A15" s="3" t="s">
        <v>11</v>
      </c>
    </row>
    <row r="16" spans="1:2" x14ac:dyDescent="0.2">
      <c r="A16" s="3" t="s">
        <v>12</v>
      </c>
    </row>
    <row r="17" spans="1:1" x14ac:dyDescent="0.2">
      <c r="A17" s="3" t="s">
        <v>13</v>
      </c>
    </row>
    <row r="18" spans="1:1" x14ac:dyDescent="0.2">
      <c r="A18" s="5" t="s">
        <v>14</v>
      </c>
    </row>
    <row r="19" spans="1:1" x14ac:dyDescent="0.2">
      <c r="A19" s="3" t="s">
        <v>44</v>
      </c>
    </row>
    <row r="20" spans="1:1" x14ac:dyDescent="0.2">
      <c r="A20" s="3" t="s">
        <v>45</v>
      </c>
    </row>
    <row r="21" spans="1:1" x14ac:dyDescent="0.2">
      <c r="A21" s="3" t="s">
        <v>46</v>
      </c>
    </row>
    <row r="22" spans="1:1" x14ac:dyDescent="0.2">
      <c r="A22" s="3" t="s">
        <v>47</v>
      </c>
    </row>
    <row r="23" spans="1:1" x14ac:dyDescent="0.2">
      <c r="A23" s="3" t="s">
        <v>15</v>
      </c>
    </row>
    <row r="24" spans="1:1" x14ac:dyDescent="0.2">
      <c r="A24" s="3" t="s">
        <v>48</v>
      </c>
    </row>
    <row r="25" spans="1:1" x14ac:dyDescent="0.2">
      <c r="A25" s="3" t="s">
        <v>16</v>
      </c>
    </row>
    <row r="26" spans="1:1" x14ac:dyDescent="0.2">
      <c r="A26" s="3" t="s">
        <v>49</v>
      </c>
    </row>
    <row r="27" spans="1:1" x14ac:dyDescent="0.2">
      <c r="A27" s="3" t="s">
        <v>17</v>
      </c>
    </row>
    <row r="28" spans="1:1" x14ac:dyDescent="0.2">
      <c r="A28" s="3" t="s">
        <v>50</v>
      </c>
    </row>
    <row r="29" spans="1:1" x14ac:dyDescent="0.2">
      <c r="A29" s="3" t="s">
        <v>18</v>
      </c>
    </row>
    <row r="30" spans="1:1" x14ac:dyDescent="0.2">
      <c r="A30" s="3" t="s">
        <v>51</v>
      </c>
    </row>
    <row r="31" spans="1:1" x14ac:dyDescent="0.2">
      <c r="A31" s="3" t="s">
        <v>19</v>
      </c>
    </row>
    <row r="32" spans="1:1" x14ac:dyDescent="0.2">
      <c r="A32" s="3" t="s">
        <v>20</v>
      </c>
    </row>
    <row r="33" spans="1:1" x14ac:dyDescent="0.2">
      <c r="A33" s="3" t="s">
        <v>52</v>
      </c>
    </row>
    <row r="34" spans="1:1" x14ac:dyDescent="0.2">
      <c r="A34" s="3" t="s">
        <v>53</v>
      </c>
    </row>
    <row r="35" spans="1:1" x14ac:dyDescent="0.2">
      <c r="A35" s="3" t="s">
        <v>54</v>
      </c>
    </row>
    <row r="36" spans="1:1" x14ac:dyDescent="0.2">
      <c r="A36" s="3" t="s">
        <v>21</v>
      </c>
    </row>
    <row r="37" spans="1:1" x14ac:dyDescent="0.2">
      <c r="A37" s="3" t="s">
        <v>22</v>
      </c>
    </row>
    <row r="38" spans="1:1" x14ac:dyDescent="0.2">
      <c r="A38" s="5" t="s">
        <v>55</v>
      </c>
    </row>
    <row r="39" spans="1:1" x14ac:dyDescent="0.2">
      <c r="A39" s="3" t="s">
        <v>56</v>
      </c>
    </row>
    <row r="40" spans="1:1" x14ac:dyDescent="0.2">
      <c r="A40" s="3" t="s">
        <v>57</v>
      </c>
    </row>
    <row r="41" spans="1:1" x14ac:dyDescent="0.2">
      <c r="A41" s="3" t="s">
        <v>58</v>
      </c>
    </row>
    <row r="42" spans="1:1" x14ac:dyDescent="0.2">
      <c r="A42" s="3" t="s">
        <v>59</v>
      </c>
    </row>
    <row r="43" spans="1:1" x14ac:dyDescent="0.2">
      <c r="A43" s="3" t="s">
        <v>60</v>
      </c>
    </row>
    <row r="44" spans="1:1" x14ac:dyDescent="0.2">
      <c r="A44" s="3" t="s">
        <v>61</v>
      </c>
    </row>
    <row r="45" spans="1:1" x14ac:dyDescent="0.2">
      <c r="A45" s="5" t="s">
        <v>62</v>
      </c>
    </row>
    <row r="46" spans="1:1" x14ac:dyDescent="0.2">
      <c r="A46" s="3" t="s">
        <v>63</v>
      </c>
    </row>
    <row r="47" spans="1:1" x14ac:dyDescent="0.2">
      <c r="A47" s="3" t="s">
        <v>64</v>
      </c>
    </row>
    <row r="48" spans="1:1" x14ac:dyDescent="0.2">
      <c r="A48" s="3" t="s">
        <v>23</v>
      </c>
    </row>
    <row r="49" spans="1:1" x14ac:dyDescent="0.2">
      <c r="A49" s="3" t="s">
        <v>65</v>
      </c>
    </row>
    <row r="50" spans="1:1" x14ac:dyDescent="0.2">
      <c r="A50" s="3" t="s">
        <v>66</v>
      </c>
    </row>
    <row r="51" spans="1:1" x14ac:dyDescent="0.2">
      <c r="A51" s="4" t="s">
        <v>24</v>
      </c>
    </row>
    <row r="52" spans="1:1" x14ac:dyDescent="0.2">
      <c r="A52" s="4" t="s">
        <v>67</v>
      </c>
    </row>
    <row r="53" spans="1:1" x14ac:dyDescent="0.2">
      <c r="A53" s="4" t="s">
        <v>68</v>
      </c>
    </row>
    <row r="54" spans="1:1" x14ac:dyDescent="0.2">
      <c r="A54" s="4"/>
    </row>
    <row r="55" spans="1:1" x14ac:dyDescent="0.2">
      <c r="A55" s="4"/>
    </row>
    <row r="56" spans="1:1" x14ac:dyDescent="0.2">
      <c r="A56" s="4"/>
    </row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</sheetData>
  <phoneticPr fontId="3"/>
  <pageMargins left="0.75" right="0.75" top="1" bottom="1" header="0.5" footer="0.5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415E-C943-43E4-AE41-011A0B49F18B}">
  <dimension ref="A1:B100"/>
  <sheetViews>
    <sheetView workbookViewId="0">
      <selection activeCell="D7" sqref="D7"/>
    </sheetView>
  </sheetViews>
  <sheetFormatPr defaultRowHeight="13" x14ac:dyDescent="0.2"/>
  <cols>
    <col min="1" max="2" width="40.6328125" customWidth="1"/>
  </cols>
  <sheetData>
    <row r="1" spans="1:2" x14ac:dyDescent="0.2">
      <c r="A1" s="1" t="s">
        <v>28</v>
      </c>
      <c r="B1" t="s">
        <v>30</v>
      </c>
    </row>
    <row r="2" spans="1:2" x14ac:dyDescent="0.2">
      <c r="A2" s="3" t="s">
        <v>69</v>
      </c>
      <c r="B2" t="s">
        <v>70</v>
      </c>
    </row>
    <row r="3" spans="1:2" x14ac:dyDescent="0.2">
      <c r="A3" s="3" t="s">
        <v>71</v>
      </c>
      <c r="B3" t="s">
        <v>72</v>
      </c>
    </row>
    <row r="4" spans="1:2" x14ac:dyDescent="0.2">
      <c r="A4" s="3" t="s">
        <v>73</v>
      </c>
      <c r="B4" t="s">
        <v>74</v>
      </c>
    </row>
    <row r="5" spans="1:2" x14ac:dyDescent="0.2">
      <c r="A5" s="3" t="s">
        <v>75</v>
      </c>
    </row>
    <row r="6" spans="1:2" x14ac:dyDescent="0.2">
      <c r="A6" s="3" t="s">
        <v>76</v>
      </c>
      <c r="B6" t="s">
        <v>77</v>
      </c>
    </row>
    <row r="7" spans="1:2" x14ac:dyDescent="0.2">
      <c r="A7" s="3" t="s">
        <v>78</v>
      </c>
    </row>
    <row r="8" spans="1:2" x14ac:dyDescent="0.2">
      <c r="A8" s="3" t="s">
        <v>79</v>
      </c>
    </row>
    <row r="9" spans="1:2" x14ac:dyDescent="0.2">
      <c r="A9" s="3" t="s">
        <v>80</v>
      </c>
    </row>
    <row r="10" spans="1:2" x14ac:dyDescent="0.2">
      <c r="A10" s="3" t="s">
        <v>81</v>
      </c>
      <c r="B10" t="s">
        <v>82</v>
      </c>
    </row>
    <row r="11" spans="1:2" x14ac:dyDescent="0.2">
      <c r="A11" s="3" t="s">
        <v>83</v>
      </c>
    </row>
    <row r="12" spans="1:2" x14ac:dyDescent="0.2">
      <c r="A12" s="3" t="s">
        <v>84</v>
      </c>
      <c r="B12" t="s">
        <v>85</v>
      </c>
    </row>
    <row r="13" spans="1:2" x14ac:dyDescent="0.2">
      <c r="A13" s="3"/>
    </row>
    <row r="14" spans="1:2" x14ac:dyDescent="0.2">
      <c r="A14" s="3"/>
    </row>
    <row r="15" spans="1:2" x14ac:dyDescent="0.2">
      <c r="A15" s="3"/>
    </row>
    <row r="16" spans="1:2" x14ac:dyDescent="0.2">
      <c r="A16" s="3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  <row r="25" spans="1:1" x14ac:dyDescent="0.2">
      <c r="A25" s="4"/>
    </row>
    <row r="26" spans="1:1" x14ac:dyDescent="0.2">
      <c r="A26" s="4"/>
    </row>
    <row r="27" spans="1:1" x14ac:dyDescent="0.2">
      <c r="A27" s="4"/>
    </row>
    <row r="28" spans="1:1" x14ac:dyDescent="0.2">
      <c r="A28" s="4"/>
    </row>
    <row r="29" spans="1:1" x14ac:dyDescent="0.2">
      <c r="A29" s="4"/>
    </row>
    <row r="30" spans="1:1" x14ac:dyDescent="0.2">
      <c r="A30" s="4"/>
    </row>
    <row r="31" spans="1:1" x14ac:dyDescent="0.2">
      <c r="A31" s="4"/>
    </row>
    <row r="32" spans="1:1" x14ac:dyDescent="0.2">
      <c r="A32" s="4"/>
    </row>
    <row r="33" spans="1:1" x14ac:dyDescent="0.2">
      <c r="A33" s="4"/>
    </row>
    <row r="34" spans="1:1" x14ac:dyDescent="0.2">
      <c r="A34" s="4"/>
    </row>
    <row r="35" spans="1:1" x14ac:dyDescent="0.2">
      <c r="A35" s="4"/>
    </row>
    <row r="36" spans="1:1" x14ac:dyDescent="0.2">
      <c r="A36" s="4"/>
    </row>
    <row r="37" spans="1:1" x14ac:dyDescent="0.2">
      <c r="A37" s="4"/>
    </row>
    <row r="38" spans="1:1" x14ac:dyDescent="0.2">
      <c r="A38" s="4"/>
    </row>
    <row r="39" spans="1:1" x14ac:dyDescent="0.2">
      <c r="A39" s="4"/>
    </row>
    <row r="40" spans="1:1" x14ac:dyDescent="0.2">
      <c r="A40" s="4"/>
    </row>
    <row r="41" spans="1:1" x14ac:dyDescent="0.2">
      <c r="A41" s="4"/>
    </row>
    <row r="42" spans="1:1" x14ac:dyDescent="0.2">
      <c r="A42" s="4"/>
    </row>
    <row r="43" spans="1:1" x14ac:dyDescent="0.2">
      <c r="A43" s="4"/>
    </row>
    <row r="44" spans="1:1" x14ac:dyDescent="0.2">
      <c r="A44" s="4"/>
    </row>
    <row r="45" spans="1:1" x14ac:dyDescent="0.2">
      <c r="A45" s="4"/>
    </row>
    <row r="46" spans="1:1" x14ac:dyDescent="0.2">
      <c r="A46" s="4"/>
    </row>
    <row r="47" spans="1:1" x14ac:dyDescent="0.2">
      <c r="A47" s="4"/>
    </row>
    <row r="48" spans="1:1" x14ac:dyDescent="0.2">
      <c r="A48" s="4"/>
    </row>
    <row r="49" spans="1:1" x14ac:dyDescent="0.2">
      <c r="A49" s="4"/>
    </row>
    <row r="50" spans="1:1" x14ac:dyDescent="0.2">
      <c r="A50" s="4"/>
    </row>
    <row r="51" spans="1:1" x14ac:dyDescent="0.2">
      <c r="A51" s="4"/>
    </row>
    <row r="52" spans="1:1" x14ac:dyDescent="0.2">
      <c r="A52" s="4"/>
    </row>
    <row r="53" spans="1:1" x14ac:dyDescent="0.2">
      <c r="A53" s="4"/>
    </row>
    <row r="54" spans="1:1" x14ac:dyDescent="0.2">
      <c r="A54" s="4"/>
    </row>
    <row r="55" spans="1:1" x14ac:dyDescent="0.2">
      <c r="A55" s="4"/>
    </row>
    <row r="56" spans="1:1" x14ac:dyDescent="0.2">
      <c r="A56" s="4"/>
    </row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</sheetData>
  <phoneticPr fontId="3"/>
  <pageMargins left="0.7" right="0.7" top="0.75" bottom="0.75" header="0.3" footer="0.3"/>
  <pageSetup paperSize="9"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6304-64E5-4F5F-B5FE-0FABAA79331A}">
  <dimension ref="A1:A12"/>
  <sheetViews>
    <sheetView workbookViewId="0">
      <selection activeCell="A6" sqref="A6"/>
    </sheetView>
  </sheetViews>
  <sheetFormatPr defaultRowHeight="13" x14ac:dyDescent="0.2"/>
  <sheetData>
    <row r="1" spans="1:1" ht="16.5" x14ac:dyDescent="0.25">
      <c r="A1" s="32" t="s">
        <v>86</v>
      </c>
    </row>
    <row r="2" spans="1:1" ht="14" x14ac:dyDescent="0.2">
      <c r="A2" s="33" t="s">
        <v>87</v>
      </c>
    </row>
    <row r="3" spans="1:1" ht="14" x14ac:dyDescent="0.2">
      <c r="A3" s="33" t="s">
        <v>88</v>
      </c>
    </row>
    <row r="4" spans="1:1" ht="14" x14ac:dyDescent="0.2">
      <c r="A4" s="33" t="s">
        <v>89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9" spans="1:1" x14ac:dyDescent="0.2">
      <c r="A9" t="s">
        <v>93</v>
      </c>
    </row>
    <row r="10" spans="1:1" x14ac:dyDescent="0.2">
      <c r="A10" t="s">
        <v>94</v>
      </c>
    </row>
    <row r="12" spans="1:1" x14ac:dyDescent="0.2">
      <c r="A12" t="s">
        <v>95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46"/>
  <sheetViews>
    <sheetView workbookViewId="0"/>
  </sheetViews>
  <sheetFormatPr defaultRowHeight="13" x14ac:dyDescent="0.2"/>
  <cols>
    <col min="3" max="3" width="13.54296875" bestFit="1" customWidth="1"/>
  </cols>
  <sheetData>
    <row r="2" spans="1:3" x14ac:dyDescent="0.2">
      <c r="A2" s="2">
        <f ca="1">IF(ISNUMBER(注文書!$B$1),IF(MONTH(注文書!$B$1+0)=MONTH(注文書!$B$1),注文書!$B$1+0,""),TODAY()+0)</f>
        <v>46311</v>
      </c>
      <c r="C2" s="7" t="s">
        <v>32</v>
      </c>
    </row>
    <row r="3" spans="1:3" x14ac:dyDescent="0.2">
      <c r="A3" s="2">
        <f ca="1">IF(ISNUMBER(注文書!$B$1),IF(MONTH(注文書!$B$1+1)=MONTH(注文書!$B$1),注文書!$B$1+1,""),TODAY()+1)</f>
        <v>46312</v>
      </c>
      <c r="C3" s="6">
        <v>46173.625</v>
      </c>
    </row>
    <row r="4" spans="1:3" x14ac:dyDescent="0.2">
      <c r="A4" s="2">
        <f ca="1">IF(ISNUMBER(注文書!$B$1),IF(MONTH(注文書!$B$1+2)=MONTH(注文書!$B$1),注文書!$B$1+2,""),TODAY()+2)</f>
        <v>46313</v>
      </c>
      <c r="C4" s="6">
        <v>46203.625</v>
      </c>
    </row>
    <row r="5" spans="1:3" x14ac:dyDescent="0.2">
      <c r="A5" s="2">
        <f ca="1">IF(ISNUMBER(注文書!$B$1),IF(MONTH(注文書!$B$1+3)=MONTH(注文書!$B$1),注文書!$B$1+3,""),TODAY()+3)</f>
        <v>46314</v>
      </c>
      <c r="C5" s="6">
        <v>46234.625</v>
      </c>
    </row>
    <row r="6" spans="1:3" x14ac:dyDescent="0.2">
      <c r="A6" s="2">
        <f ca="1">IF(ISNUMBER(注文書!$B$1),IF(MONTH(注文書!$B$1+4)=MONTH(注文書!$B$1),注文書!$B$1+4,""),TODAY()+4)</f>
        <v>46315</v>
      </c>
      <c r="C6" s="6">
        <v>46265.625</v>
      </c>
    </row>
    <row r="7" spans="1:3" x14ac:dyDescent="0.2">
      <c r="A7" s="2">
        <f ca="1">IF(ISNUMBER(注文書!$B$1),IF(MONTH(注文書!$B$1+5)=MONTH(注文書!$B$1),注文書!$B$1+5,""),TODAY()+5)</f>
        <v>46316</v>
      </c>
      <c r="C7" s="6">
        <v>46295.625</v>
      </c>
    </row>
    <row r="8" spans="1:3" x14ac:dyDescent="0.2">
      <c r="A8" s="2">
        <f ca="1">IF(ISNUMBER(注文書!$B$1),IF(MONTH(注文書!$B$1+6)=MONTH(注文書!$B$1),注文書!$B$1+6,""),TODAY()+6)</f>
        <v>46317</v>
      </c>
      <c r="C8" s="6">
        <v>46326.625</v>
      </c>
    </row>
    <row r="9" spans="1:3" x14ac:dyDescent="0.2">
      <c r="A9" s="2">
        <f ca="1">IF(ISNUMBER(注文書!$B$1),IF(MONTH(注文書!$B$1+7)=MONTH(注文書!$B$1),注文書!$B$1+7,""),TODAY()+7)</f>
        <v>46318</v>
      </c>
      <c r="C9" s="6">
        <v>46356.625</v>
      </c>
    </row>
    <row r="10" spans="1:3" x14ac:dyDescent="0.2">
      <c r="A10" s="2">
        <f ca="1">IF(ISNUMBER(注文書!$B$1),IF(MONTH(注文書!$B$1+8)=MONTH(注文書!$B$1),注文書!$B$1+8,""),TODAY()+8)</f>
        <v>46319</v>
      </c>
      <c r="C10" s="6">
        <v>46387.625</v>
      </c>
    </row>
    <row r="11" spans="1:3" x14ac:dyDescent="0.2">
      <c r="A11" s="2">
        <f ca="1">IF(ISNUMBER(注文書!$B$1),IF(MONTH(注文書!$B$1+9)=MONTH(注文書!$B$1),注文書!$B$1+9,""),TODAY()+9)</f>
        <v>46320</v>
      </c>
      <c r="C11" s="6">
        <v>46418.625</v>
      </c>
    </row>
    <row r="12" spans="1:3" x14ac:dyDescent="0.2">
      <c r="A12" s="2">
        <f ca="1">IF(ISNUMBER(注文書!$B$1),IF(MONTH(注文書!$B$1+10)=MONTH(注文書!$B$1),注文書!$B$1+10,""),TODAY()+10)</f>
        <v>46321</v>
      </c>
      <c r="C12" s="6">
        <v>46446.625</v>
      </c>
    </row>
    <row r="13" spans="1:3" x14ac:dyDescent="0.2">
      <c r="A13" s="2">
        <f ca="1">IF(ISNUMBER(注文書!$B$1),IF(MONTH(注文書!$B$1+11)=MONTH(注文書!$B$1),注文書!$B$1+11,""),TODAY()+11)</f>
        <v>46322</v>
      </c>
      <c r="C13" s="6">
        <v>46477.625</v>
      </c>
    </row>
    <row r="14" spans="1:3" x14ac:dyDescent="0.2">
      <c r="A14" s="2">
        <f ca="1">IF(ISNUMBER(注文書!$B$1),IF(MONTH(注文書!$B$1+12)=MONTH(注文書!$B$1),注文書!$B$1+12,""),TODAY()+12)</f>
        <v>46323</v>
      </c>
      <c r="C14" s="6">
        <v>46507.625</v>
      </c>
    </row>
    <row r="15" spans="1:3" x14ac:dyDescent="0.2">
      <c r="A15" s="2">
        <f ca="1">IF(ISNUMBER(注文書!$B$1),IF(MONTH(注文書!$B$1+13)=MONTH(注文書!$B$1),注文書!$B$1+13,""),TODAY()+13)</f>
        <v>46324</v>
      </c>
      <c r="C15" s="31">
        <v>46538.625</v>
      </c>
    </row>
    <row r="16" spans="1:3" x14ac:dyDescent="0.2">
      <c r="A16" s="2">
        <f ca="1">IF(ISNUMBER(注文書!$B$1),IF(MONTH(注文書!$B$1+14)=MONTH(注文書!$B$1),注文書!$B$1+14,""),TODAY()+14)</f>
        <v>46325</v>
      </c>
      <c r="C16" s="31">
        <v>46568.625</v>
      </c>
    </row>
    <row r="17" spans="1:3" x14ac:dyDescent="0.2">
      <c r="A17" s="2">
        <f ca="1">IF(ISNUMBER(注文書!$B$1),IF(MONTH(注文書!$B$1+15)=MONTH(注文書!$B$1),注文書!$B$1+15,""),TODAY()+15)</f>
        <v>46326</v>
      </c>
      <c r="C17" s="31">
        <v>46599.625</v>
      </c>
    </row>
    <row r="18" spans="1:3" x14ac:dyDescent="0.2">
      <c r="A18" s="2">
        <f ca="1">IF(ISNUMBER(注文書!$B$1),IF(MONTH(注文書!$B$1+16)=MONTH(注文書!$B$1),注文書!$B$1+16,""),TODAY()+16)</f>
        <v>46327</v>
      </c>
      <c r="C18" s="31">
        <v>46630.625</v>
      </c>
    </row>
    <row r="19" spans="1:3" x14ac:dyDescent="0.2">
      <c r="A19" s="2">
        <f ca="1">IF(ISNUMBER(注文書!$B$1),IF(MONTH(注文書!$B$1+17)=MONTH(注文書!$B$1),注文書!$B$1+17,""),TODAY()+17)</f>
        <v>46328</v>
      </c>
      <c r="C19" s="31">
        <v>46660.625</v>
      </c>
    </row>
    <row r="20" spans="1:3" x14ac:dyDescent="0.2">
      <c r="A20" s="2">
        <f ca="1">IF(ISNUMBER(注文書!$B$1),IF(MONTH(注文書!$B$1+18)=MONTH(注文書!$B$1),注文書!$B$1+18,""),TODAY()+18)</f>
        <v>46329</v>
      </c>
      <c r="C20" s="31">
        <v>46691.625</v>
      </c>
    </row>
    <row r="21" spans="1:3" x14ac:dyDescent="0.2">
      <c r="A21" s="2">
        <f ca="1">IF(ISNUMBER(注文書!$B$1),IF(MONTH(注文書!$B$1+19)=MONTH(注文書!$B$1),注文書!$B$1+19,""),TODAY()+19)</f>
        <v>46330</v>
      </c>
      <c r="C21" s="31">
        <v>46721.625</v>
      </c>
    </row>
    <row r="22" spans="1:3" x14ac:dyDescent="0.2">
      <c r="A22" s="2">
        <f ca="1">IF(ISNUMBER(注文書!$B$1),IF(MONTH(注文書!$B$1+20)=MONTH(注文書!$B$1),注文書!$B$1+20,""),TODAY()+20)</f>
        <v>46331</v>
      </c>
      <c r="C22" s="31">
        <v>46752.625</v>
      </c>
    </row>
    <row r="23" spans="1:3" x14ac:dyDescent="0.2">
      <c r="A23" s="2">
        <f ca="1">IF(ISNUMBER(注文書!$B$1),IF(MONTH(注文書!$B$1+21)=MONTH(注文書!$B$1),注文書!$B$1+21,""),TODAY()+21)</f>
        <v>46332</v>
      </c>
    </row>
    <row r="24" spans="1:3" x14ac:dyDescent="0.2">
      <c r="A24" s="2">
        <f ca="1">IF(ISNUMBER(注文書!$B$1),IF(MONTH(注文書!$B$1+22)=MONTH(注文書!$B$1),注文書!$B$1+22,""),TODAY()+22)</f>
        <v>46333</v>
      </c>
    </row>
    <row r="25" spans="1:3" x14ac:dyDescent="0.2">
      <c r="A25" s="2">
        <f ca="1">IF(ISNUMBER(注文書!$B$1),IF(MONTH(注文書!$B$1+23)=MONTH(注文書!$B$1),注文書!$B$1+23,""),TODAY()+23)</f>
        <v>46334</v>
      </c>
    </row>
    <row r="26" spans="1:3" x14ac:dyDescent="0.2">
      <c r="A26" s="2">
        <f ca="1">IF(ISNUMBER(注文書!$B$1),IF(MONTH(注文書!$B$1+24)=MONTH(注文書!$B$1),注文書!$B$1+24,""),TODAY()+24)</f>
        <v>46335</v>
      </c>
    </row>
    <row r="27" spans="1:3" x14ac:dyDescent="0.2">
      <c r="A27" s="2">
        <f ca="1">IF(ISNUMBER(注文書!$B$1),IF(MONTH(注文書!$B$1+25)=MONTH(注文書!$B$1),注文書!$B$1+25,""),TODAY()+25)</f>
        <v>46336</v>
      </c>
    </row>
    <row r="28" spans="1:3" x14ac:dyDescent="0.2">
      <c r="A28" s="2">
        <f ca="1">IF(ISNUMBER(注文書!$B$1),IF(MONTH(注文書!$B$1+26)=MONTH(注文書!$B$1),注文書!$B$1+26,""),TODAY()+26)</f>
        <v>46337</v>
      </c>
    </row>
    <row r="29" spans="1:3" x14ac:dyDescent="0.2">
      <c r="A29" s="2">
        <f ca="1">IF(ISNUMBER(注文書!$B$1),IF(MONTH(注文書!$B$1+27)=MONTH(注文書!$B$1),注文書!$B$1+27,""),TODAY()+27)</f>
        <v>46338</v>
      </c>
    </row>
    <row r="30" spans="1:3" x14ac:dyDescent="0.2">
      <c r="A30" s="2">
        <f ca="1">IF(ISNUMBER(注文書!$B$1),IF(MONTH(注文書!$B$1+28)=MONTH(注文書!$B$1),注文書!$B$1+28,""),TODAY()+28)</f>
        <v>46339</v>
      </c>
    </row>
    <row r="31" spans="1:3" x14ac:dyDescent="0.2">
      <c r="A31" s="2">
        <f ca="1">IF(ISNUMBER(注文書!$B$1),IF(MONTH(注文書!$B$1+29)=MONTH(注文書!$B$1),注文書!$B$1+29,""),TODAY()+29)</f>
        <v>46340</v>
      </c>
    </row>
    <row r="32" spans="1:3" x14ac:dyDescent="0.2">
      <c r="A32" s="2">
        <f ca="1">IF(ISNUMBER(注文書!$B$1),IF(MONTH(注文書!$B$1+30)=MONTH(注文書!$B$1),注文書!$B$1+30,""),TODAY()+30)</f>
        <v>46341</v>
      </c>
    </row>
    <row r="33" spans="1:1" x14ac:dyDescent="0.2">
      <c r="A33" s="2">
        <f ca="1">IF(ISNUMBER(注文書!$B$1),IF(MONTH(注文書!$B$1+31)=MONTH(注文書!$B$1),注文書!$B$1+31,""),TODAY()+31)</f>
        <v>46342</v>
      </c>
    </row>
    <row r="34" spans="1:1" x14ac:dyDescent="0.2">
      <c r="A34" s="2">
        <f ca="1">IF(ISNUMBER(注文書!$B$1),IF(MONTH(注文書!$B$1+32)=MONTH(注文書!$B$1),注文書!$B$1+32,""),TODAY()+32)</f>
        <v>46343</v>
      </c>
    </row>
    <row r="35" spans="1:1" x14ac:dyDescent="0.2">
      <c r="A35" s="2">
        <f ca="1">IF(ISNUMBER(注文書!$B$1),IF(MONTH(注文書!$B$1+33)=MONTH(注文書!$B$1),注文書!$B$1+33,""),TODAY()+33)</f>
        <v>46344</v>
      </c>
    </row>
    <row r="36" spans="1:1" x14ac:dyDescent="0.2">
      <c r="A36" s="2">
        <f ca="1">IF(ISNUMBER(注文書!$B$1),IF(MONTH(注文書!$B$1+34)=MONTH(注文書!$B$1),注文書!$B$1+34,""),TODAY()+34)</f>
        <v>46345</v>
      </c>
    </row>
    <row r="37" spans="1:1" x14ac:dyDescent="0.2">
      <c r="A37" s="2">
        <f ca="1">IF(ISNUMBER(注文書!$B$1),IF(MONTH(注文書!$B$1+35)=MONTH(注文書!$B$1),注文書!$B$1+35,""),TODAY()+35)</f>
        <v>46346</v>
      </c>
    </row>
    <row r="38" spans="1:1" x14ac:dyDescent="0.2">
      <c r="A38" s="2">
        <f ca="1">IF(ISNUMBER(注文書!$B$1),IF(MONTH(注文書!$B$1+36)=MONTH(注文書!$B$1),注文書!$B$1+36,""),TODAY()+36)</f>
        <v>46347</v>
      </c>
    </row>
    <row r="39" spans="1:1" x14ac:dyDescent="0.2">
      <c r="A39" s="2">
        <f ca="1">IF(ISNUMBER(注文書!$B$1),IF(MONTH(注文書!$B$1+37)=MONTH(注文書!$B$1),注文書!$B$1+37,""),TODAY()+37)</f>
        <v>46348</v>
      </c>
    </row>
    <row r="40" spans="1:1" x14ac:dyDescent="0.2">
      <c r="A40" s="2">
        <f ca="1">IF(ISNUMBER(注文書!$B$1),IF(MONTH(注文書!$B$1+38)=MONTH(注文書!$B$1),注文書!$B$1+38,""),TODAY()+38)</f>
        <v>46349</v>
      </c>
    </row>
    <row r="41" spans="1:1" x14ac:dyDescent="0.2">
      <c r="A41" s="2">
        <f ca="1">IF(ISNUMBER(注文書!$B$1),IF(MONTH(注文書!$B$1+39)=MONTH(注文書!$B$1),注文書!$B$1+39,""),TODAY()+39)</f>
        <v>46350</v>
      </c>
    </row>
    <row r="42" spans="1:1" x14ac:dyDescent="0.2">
      <c r="A42" s="2">
        <f ca="1">IF(ISNUMBER(注文書!$B$1),IF(MONTH(注文書!$B$1+40)=MONTH(注文書!$B$1),注文書!$B$1+40,""),TODAY()+40)</f>
        <v>46351</v>
      </c>
    </row>
    <row r="43" spans="1:1" x14ac:dyDescent="0.2">
      <c r="A43" s="2">
        <f ca="1">IF(ISNUMBER(注文書!$B$1),IF(MONTH(注文書!$B$1+41)=MONTH(注文書!$B$1),注文書!$B$1+41,""),TODAY()+41)</f>
        <v>46352</v>
      </c>
    </row>
    <row r="44" spans="1:1" x14ac:dyDescent="0.2">
      <c r="A44" s="2">
        <f ca="1">IF(ISNUMBER(注文書!$B$1),IF(MONTH(注文書!$B$1+42)=MONTH(注文書!$B$1),注文書!$B$1+42,""),TODAY()+42)</f>
        <v>46353</v>
      </c>
    </row>
    <row r="45" spans="1:1" x14ac:dyDescent="0.2">
      <c r="A45" s="2">
        <f ca="1">IF(ISNUMBER(注文書!$B$1),IF(MONTH(注文書!$B$1+43)=MONTH(注文書!$B$1),注文書!$B$1+43,""),TODAY()+43)</f>
        <v>46354</v>
      </c>
    </row>
    <row r="46" spans="1:1" x14ac:dyDescent="0.2">
      <c r="A46" s="2">
        <f ca="1">IF(ISNUMBER(注文書!$B$1),IF(MONTH(注文書!$B$1+44)=MONTH(注文書!$B$1),注文書!$B$1+44,""),TODAY()+44)</f>
        <v>46355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注文書</vt:lpstr>
      <vt:lpstr>商品名一覧</vt:lpstr>
      <vt:lpstr>備考一覧</vt:lpstr>
      <vt:lpstr>使い方</vt:lpstr>
      <vt:lpstr>日付リスト</vt:lpstr>
      <vt:lpstr>注文書!Print_Area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賢 若林</cp:lastModifiedBy>
  <cp:lastPrinted>2026-07-07T02:58:23Z</cp:lastPrinted>
  <dcterms:created xsi:type="dcterms:W3CDTF">2026-07-06T10:13:06Z</dcterms:created>
  <dcterms:modified xsi:type="dcterms:W3CDTF">2026-10-16T12:37:50Z</dcterms:modified>
</cp:coreProperties>
</file>